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chool Contacts" sheetId="1" state="visible" r:id="rId3"/>
    <sheet name="Complete School List" sheetId="2" state="visible" r:id="rId4"/>
    <sheet name="Research Summary" sheetId="3" state="visible" r:id="rId5"/>
  </sheets>
  <definedNames>
    <definedName function="false" hidden="true" localSheetId="1" name="_xlnm._FilterDatabase" vbProcedure="false">'Complete School List'!$A$1:$I$67</definedName>
    <definedName function="false" hidden="true" localSheetId="0" name="_xlnm._FilterDatabase" vbProcedure="false">'School Contacts'!$A$1:$L$304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<sst xmlns="http://schemas.openxmlformats.org/spreadsheetml/2006/main" count="4005" uniqueCount="1248">
  <si>
    <t xml:space="preserve">School District</t>
  </si>
  <si>
    <t xml:space="preserve">School Name</t>
  </si>
  <si>
    <t xml:space="preserve">School Type (Middle/High/Combined)</t>
  </si>
  <si>
    <t xml:space="preserve">Contact Full Name</t>
  </si>
  <si>
    <t xml:space="preserve">Job Title</t>
  </si>
  <si>
    <t xml:space="preserve">Relevant Department or Club</t>
  </si>
  <si>
    <t xml:space="preserve">Professional Email Address</t>
  </si>
  <si>
    <t xml:space="preserve">Email Verification Status</t>
  </si>
  <si>
    <t xml:space="preserve">Email Source URL</t>
  </si>
  <si>
    <t xml:space="preserve">School Website</t>
  </si>
  <si>
    <t xml:space="preserve">Priority (High/Medium/Low)</t>
  </si>
  <si>
    <t xml:space="preserve">Notes</t>
  </si>
  <si>
    <t xml:space="preserve">Clayton County Public Schools</t>
  </si>
  <si>
    <t xml:space="preserve">Adamson Middle School</t>
  </si>
  <si>
    <t xml:space="preserve">Middle</t>
  </si>
  <si>
    <t xml:space="preserve">Segeeta Allen-Bland</t>
  </si>
  <si>
    <t xml:space="preserve">Teacher-Computer Tech Mid Sch</t>
  </si>
  <si>
    <t xml:space="preserve">Computer Technology (Connections)</t>
  </si>
  <si>
    <t xml:space="preserve">segeeta.allenbland@clayton.k12.ga.us</t>
  </si>
  <si>
    <t xml:space="preserve">Verified - official school staff directory (profile)</t>
  </si>
  <si>
    <t xml:space="preserve">https://019.clayton.k12.ga.us/staff/directory</t>
  </si>
  <si>
    <t xml:space="preserve">https://019.clayton.k12.ga.us</t>
  </si>
  <si>
    <t xml:space="preserve">High</t>
  </si>
  <si>
    <t xml:space="preserve">Adrian Courtland</t>
  </si>
  <si>
    <t xml:space="preserve">Principal-Middle School</t>
  </si>
  <si>
    <t xml:space="preserve">Administration</t>
  </si>
  <si>
    <t xml:space="preserve">adrian.courtland@clayton.k12.ga.us</t>
  </si>
  <si>
    <t xml:space="preserve">Lakesha Roberts</t>
  </si>
  <si>
    <t xml:space="preserve">Ast Principal-Middle School</t>
  </si>
  <si>
    <t xml:space="preserve">lakesha.roberts@clayton.k12.ga.us</t>
  </si>
  <si>
    <t xml:space="preserve">Medium</t>
  </si>
  <si>
    <t xml:space="preserve">Melody Powell</t>
  </si>
  <si>
    <t xml:space="preserve">melody.powell@clayton.k12.ga.us</t>
  </si>
  <si>
    <t xml:space="preserve">Aaleyah Kelso</t>
  </si>
  <si>
    <t xml:space="preserve">Teacher-Science Middle School</t>
  </si>
  <si>
    <t xml:space="preserve">Science</t>
  </si>
  <si>
    <t xml:space="preserve">aaleyah.kelso@clayton.k12.ga.us</t>
  </si>
  <si>
    <t xml:space="preserve">Low</t>
  </si>
  <si>
    <t xml:space="preserve">Carrie D. Kendrick Middle School</t>
  </si>
  <si>
    <t xml:space="preserve">Monique Lewis</t>
  </si>
  <si>
    <t xml:space="preserve">monique.lewis@clayton.k12.ga.us</t>
  </si>
  <si>
    <t xml:space="preserve">https://028.clayton.k12.ga.us/staff</t>
  </si>
  <si>
    <t xml:space="preserve">https://024.clayton.k12.ga.us</t>
  </si>
  <si>
    <t xml:space="preserve">Directory profile lists multiple locations: Kendrick Ms, Sequoyah Ms.</t>
  </si>
  <si>
    <t xml:space="preserve">Letitia Lewis</t>
  </si>
  <si>
    <t xml:space="preserve">letitia.lewis@clayton.k12.ga.us</t>
  </si>
  <si>
    <t xml:space="preserve">https://024.clayton.k12.ga.us/staff/directory</t>
  </si>
  <si>
    <t xml:space="preserve">Charles Gilchrist</t>
  </si>
  <si>
    <t xml:space="preserve">charles.gilchrist@clayton.k12.ga.us</t>
  </si>
  <si>
    <t xml:space="preserve">Kantrell Gibson-Brown</t>
  </si>
  <si>
    <t xml:space="preserve">kantrell.gibson-brown@clayton.k12.ga.us</t>
  </si>
  <si>
    <t xml:space="preserve">Cadine Ferguson</t>
  </si>
  <si>
    <t xml:space="preserve">Intalage Teachers-Science</t>
  </si>
  <si>
    <t xml:space="preserve">cadine.ferguson@clayton.k12.ga.us</t>
  </si>
  <si>
    <t xml:space="preserve">Eddie White Middle Academy</t>
  </si>
  <si>
    <t xml:space="preserve">Lynna Springs</t>
  </si>
  <si>
    <t xml:space="preserve">lynna.springs@clayton.k12.ga.us</t>
  </si>
  <si>
    <t xml:space="preserve">https://031.clayton.k12.ga.us/staff</t>
  </si>
  <si>
    <t xml:space="preserve">https://031.clayton.k12.ga.us</t>
  </si>
  <si>
    <t xml:space="preserve">Shannon Hoskins-Praylow</t>
  </si>
  <si>
    <t xml:space="preserve">shannon.hoskinsprayl@clayton.k12.ga.us</t>
  </si>
  <si>
    <t xml:space="preserve">Micki Harris</t>
  </si>
  <si>
    <t xml:space="preserve">micki.harris@clayton.k12.ga.us</t>
  </si>
  <si>
    <t xml:space="preserve">Sharlissa Pollard</t>
  </si>
  <si>
    <t xml:space="preserve">Teacher-Technology Middle Sch</t>
  </si>
  <si>
    <t xml:space="preserve">Technology (Connections)</t>
  </si>
  <si>
    <t xml:space="preserve">sharlissa.pollard@clayton.k12.ga.us</t>
  </si>
  <si>
    <t xml:space="preserve">Directory profile lists multiple locations: Marshall Es, White Academy Ms.</t>
  </si>
  <si>
    <t xml:space="preserve">Adriel Thomas</t>
  </si>
  <si>
    <t xml:space="preserve">adriel.thomas@clayton.k12.ga.us</t>
  </si>
  <si>
    <t xml:space="preserve">Forest Park Middle School</t>
  </si>
  <si>
    <t xml:space="preserve">Thomas Stinson</t>
  </si>
  <si>
    <t xml:space="preserve">Engineering/Technology Teacher</t>
  </si>
  <si>
    <t xml:space="preserve">Engineering &amp; Technology (Connections)</t>
  </si>
  <si>
    <t xml:space="preserve">thomas.stinson@clayton.k12.ga.us</t>
  </si>
  <si>
    <t xml:space="preserve">https://012.clayton.k12.ga.us/staff/directory</t>
  </si>
  <si>
    <t xml:space="preserve">https://012.clayton.k12.ga.us</t>
  </si>
  <si>
    <t xml:space="preserve">Directory title Teacher-Engineering/Technology MS (profile assigned to Forest Park MS). A Mr. Stinson is also named as Technology &amp; Robotics Club contact on Adamson MS's club page, which appears out of date.</t>
  </si>
  <si>
    <t xml:space="preserve">Ramona Potts</t>
  </si>
  <si>
    <t xml:space="preserve">ramona.potts@clayton.k12.ga.us</t>
  </si>
  <si>
    <t xml:space="preserve">Harold Dobbins</t>
  </si>
  <si>
    <t xml:space="preserve">harold.dobbins@clayton.k12.ga.us</t>
  </si>
  <si>
    <t xml:space="preserve">Directory profile lists multiple locations: East Clayton Es, Forest Park Ms.</t>
  </si>
  <si>
    <t xml:space="preserve">Sara Vasquez</t>
  </si>
  <si>
    <t xml:space="preserve">sara.vasquez@clayton.k12.ga.us</t>
  </si>
  <si>
    <t xml:space="preserve">Chasity Jackson</t>
  </si>
  <si>
    <t xml:space="preserve">chasity.jackson@clayton.k12.ga.us</t>
  </si>
  <si>
    <t xml:space="preserve">G.P. Babb Middle School</t>
  </si>
  <si>
    <t xml:space="preserve">Nakia Cole</t>
  </si>
  <si>
    <t xml:space="preserve">Science Teacher; Drone &amp; Robotics Team co-lead</t>
  </si>
  <si>
    <t xml:space="preserve">Drone &amp; Robotics Team / Science</t>
  </si>
  <si>
    <t xml:space="preserve">nakia.cole@clayton.k12.ga.us</t>
  </si>
  <si>
    <t xml:space="preserve">Verified - published on official school webpage</t>
  </si>
  <si>
    <t xml:space="preserve">https://011.clayton.k12.ga.us/about/points-of-pride</t>
  </si>
  <si>
    <t xml:space="preserve">https://011.clayton.k12.ga.us</t>
  </si>
  <si>
    <t xml:space="preserve">Points of Pride (3/7/2026) credits Ms. Cole with the Drone &amp; Robotics team.</t>
  </si>
  <si>
    <t xml:space="preserve">Taylor Milam</t>
  </si>
  <si>
    <t xml:space="preserve">Teacher-Ib/Magnet/stem-Secondary</t>
  </si>
  <si>
    <t xml:space="preserve">Magnet/STEM Program</t>
  </si>
  <si>
    <t xml:space="preserve">taylor.milam@clayton.k12.ga.us</t>
  </si>
  <si>
    <t xml:space="preserve">https://011.clayton.k12.ga.us/staff</t>
  </si>
  <si>
    <t xml:space="preserve">Ashley Young</t>
  </si>
  <si>
    <t xml:space="preserve">Teacher-Computer Science</t>
  </si>
  <si>
    <t xml:space="preserve">Computer Science (CTAE)</t>
  </si>
  <si>
    <t xml:space="preserve">ashley.young@clayton.k12.ga.us</t>
  </si>
  <si>
    <t xml:space="preserve">Deborah Green</t>
  </si>
  <si>
    <t xml:space="preserve">deborah.green@clayton.k12.ga.us</t>
  </si>
  <si>
    <t xml:space="preserve">Adeline Bazard</t>
  </si>
  <si>
    <t xml:space="preserve">adeline.bazard@clayton.k12.ga.us</t>
  </si>
  <si>
    <t xml:space="preserve">Jonesboro Middle School</t>
  </si>
  <si>
    <t xml:space="preserve">Kim Nguyen</t>
  </si>
  <si>
    <t xml:space="preserve">kim.nguyen@clayton.k12.ga.us</t>
  </si>
  <si>
    <t xml:space="preserve">https://014.clayton.k12.ga.us/staff/directory</t>
  </si>
  <si>
    <t xml:space="preserve">https://014.clayton.k12.ga.us</t>
  </si>
  <si>
    <t xml:space="preserve">Onequa Hampshire</t>
  </si>
  <si>
    <t xml:space="preserve">onequa.hampshire@clayton.k12.ga.us</t>
  </si>
  <si>
    <t xml:space="preserve">Kimberlee Barnett</t>
  </si>
  <si>
    <t xml:space="preserve">kimberlee.barnett@clayton.k12.ga.us</t>
  </si>
  <si>
    <t xml:space="preserve">Wendy Thompson</t>
  </si>
  <si>
    <t xml:space="preserve">Teacher-Gifted Science</t>
  </si>
  <si>
    <t xml:space="preserve">wendy.thompson@clayton.k12.ga.us</t>
  </si>
  <si>
    <t xml:space="preserve">Michael Walraven</t>
  </si>
  <si>
    <t xml:space="preserve">michael.walraven@clayton.k12.ga.us</t>
  </si>
  <si>
    <t xml:space="preserve">M.D. Roberts School of the Arts</t>
  </si>
  <si>
    <t xml:space="preserve">Jessie Henry</t>
  </si>
  <si>
    <t xml:space="preserve">Computer Science Teacher</t>
  </si>
  <si>
    <t xml:space="preserve">Computer Science (Connections)</t>
  </si>
  <si>
    <t xml:space="preserve">jessie.henry@clayton.k12.ga.us</t>
  </si>
  <si>
    <t xml:space="preserve">https://025.clayton.k12.ga.us/staff/directory</t>
  </si>
  <si>
    <t xml:space="preserve">https://025.clayton.k12.ga.us</t>
  </si>
  <si>
    <t xml:space="preserve">Dr. Caryn Turner</t>
  </si>
  <si>
    <t xml:space="preserve">Principal</t>
  </si>
  <si>
    <t xml:space="preserve">caryn.turner@clayton.k12.ga.us</t>
  </si>
  <si>
    <t xml:space="preserve">https://025.clayton.k12.ga.us/about/administration</t>
  </si>
  <si>
    <t xml:space="preserve">mailto link on Administration page (capitalized as Caryn.turner@).</t>
  </si>
  <si>
    <t xml:space="preserve">Dr. Stacy Black</t>
  </si>
  <si>
    <t xml:space="preserve">Assistant Principal</t>
  </si>
  <si>
    <t xml:space="preserve">stacy.black@clayton.k12.ga.us</t>
  </si>
  <si>
    <t xml:space="preserve">Email rendered by the page's Finalsite email script. Grade-level assignment differs between page sections (7th grade listed).</t>
  </si>
  <si>
    <t xml:space="preserve">Torressa Smith</t>
  </si>
  <si>
    <t xml:space="preserve">Physical Science Teacher (8th grade)</t>
  </si>
  <si>
    <t xml:space="preserve">torressa.smith@clayton.k12.ga.us</t>
  </si>
  <si>
    <t xml:space="preserve">Gary Lomba</t>
  </si>
  <si>
    <t xml:space="preserve">Assistant Principal (Fine Arts)</t>
  </si>
  <si>
    <t xml:space="preserve">gary.lomba@clayton.k12.ga.us</t>
  </si>
  <si>
    <t xml:space="preserve">Email rendered by the page's Finalsite email script.</t>
  </si>
  <si>
    <t xml:space="preserve">Morrow Middle School</t>
  </si>
  <si>
    <t xml:space="preserve">Valencia Smith</t>
  </si>
  <si>
    <t xml:space="preserve">valencia.smith@clayton.k12.ga.us</t>
  </si>
  <si>
    <t xml:space="preserve">https://015.clayton.k12.ga.us/staff</t>
  </si>
  <si>
    <t xml:space="preserve">https://015.clayton.k12.ga.us</t>
  </si>
  <si>
    <t xml:space="preserve">Christopher Robinson</t>
  </si>
  <si>
    <t xml:space="preserve">christopher.robinson@clayton.k12.ga.us</t>
  </si>
  <si>
    <t xml:space="preserve">Deon Pennyman</t>
  </si>
  <si>
    <t xml:space="preserve">deon.pennyman@clayton.k12.ga.us</t>
  </si>
  <si>
    <t xml:space="preserve">David Johnson</t>
  </si>
  <si>
    <t xml:space="preserve">david.johnson@clayton.k12.ga.us</t>
  </si>
  <si>
    <t xml:space="preserve">Nicole Jones</t>
  </si>
  <si>
    <t xml:space="preserve">nicole.reese@clayton.k12.ga.us</t>
  </si>
  <si>
    <t xml:space="preserve">Mundy's Mill Middle School</t>
  </si>
  <si>
    <t xml:space="preserve">Heather Peterson</t>
  </si>
  <si>
    <t xml:space="preserve">STEM Lead</t>
  </si>
  <si>
    <t xml:space="preserve">STEM / Instructional Support (S.T.E.A.M. school)</t>
  </si>
  <si>
    <t xml:space="preserve">heather.peterson@clayton.k12.ga.us</t>
  </si>
  <si>
    <t xml:space="preserve">https://016.clayton.k12.ga.us/departments/instructional-support</t>
  </si>
  <si>
    <t xml:space="preserve">https://016.clayton.k12.ga.us</t>
  </si>
  <si>
    <t xml:space="preserve">Listed as STEM Lead on the Instructional Support page.</t>
  </si>
  <si>
    <t xml:space="preserve">Lorraine Houlder</t>
  </si>
  <si>
    <t xml:space="preserve">Teacher-Engineering/Technology</t>
  </si>
  <si>
    <t xml:space="preserve">Engineering &amp; Technology (CTAE)</t>
  </si>
  <si>
    <t xml:space="preserve">lorraine.houlder@clayton.k12.ga.us</t>
  </si>
  <si>
    <t xml:space="preserve">https://007.clayton.k12.ga.us/staff</t>
  </si>
  <si>
    <t xml:space="preserve">Directory profile lists multiple locations: Mt Zion Hs, Mundy'S Mill Ms.</t>
  </si>
  <si>
    <t xml:space="preserve">Katharina Wade</t>
  </si>
  <si>
    <t xml:space="preserve">katharina.wade@clayton.k12.ga.us</t>
  </si>
  <si>
    <t xml:space="preserve">https://016.clayton.k12.ga.us/academics/connections</t>
  </si>
  <si>
    <t xml:space="preserve">Listed under Connections as Computer Science; profile also lists Brown ES.</t>
  </si>
  <si>
    <t xml:space="preserve">Karen Artis</t>
  </si>
  <si>
    <t xml:space="preserve">karen.artis@clayton.k12.ga.us</t>
  </si>
  <si>
    <t xml:space="preserve">https://029.clayton.k12.ga.us/staff</t>
  </si>
  <si>
    <t xml:space="preserve">Directory profile lists multiple locations: Mundy'S Mill Ms, Rex Mill Ms.</t>
  </si>
  <si>
    <t xml:space="preserve">Carlos Cliett</t>
  </si>
  <si>
    <t xml:space="preserve">carlos.cliett@clayton.k12.ga.us</t>
  </si>
  <si>
    <t xml:space="preserve">https://311.clayton.k12.ga.us/departments/faculty-staff</t>
  </si>
  <si>
    <t xml:space="preserve">Directory profile lists multiple locations: Mundy'S Mill Hs, Mundy'S Mill Ms.</t>
  </si>
  <si>
    <t xml:space="preserve">North Clayton Middle School</t>
  </si>
  <si>
    <t xml:space="preserve">Brittney Blackwell</t>
  </si>
  <si>
    <t xml:space="preserve">Magnet Specialist (grant funded)</t>
  </si>
  <si>
    <t xml:space="preserve">Magnet Program</t>
  </si>
  <si>
    <t xml:space="preserve">brittney.blackwell@clayton.k12.ga.us</t>
  </si>
  <si>
    <t xml:space="preserve">https://017.clayton.k12.ga.us/staff/directory</t>
  </si>
  <si>
    <t xml:space="preserve">https://017.clayton.k12.ga.us</t>
  </si>
  <si>
    <t xml:space="preserve">Magnet Specialist per directory.</t>
  </si>
  <si>
    <t xml:space="preserve">Beverly Scott</t>
  </si>
  <si>
    <t xml:space="preserve">beverly.scott@clayton.k12.ga.us</t>
  </si>
  <si>
    <t xml:space="preserve">Nina Shannon</t>
  </si>
  <si>
    <t xml:space="preserve">nina.shannon@clayton.k12.ga.us</t>
  </si>
  <si>
    <t xml:space="preserve">Shakeria Chaney</t>
  </si>
  <si>
    <t xml:space="preserve">shakeria.chaney@clayton.k12.ga.us</t>
  </si>
  <si>
    <t xml:space="preserve">Crystal Husbands</t>
  </si>
  <si>
    <t xml:space="preserve">crystal.husbands@clayton.k12.ga.us</t>
  </si>
  <si>
    <t xml:space="preserve">Pointe South Middle School</t>
  </si>
  <si>
    <t xml:space="preserve">Imani Warden</t>
  </si>
  <si>
    <t xml:space="preserve">imani.warden@clayton.k12.ga.us</t>
  </si>
  <si>
    <t xml:space="preserve">https://020.clayton.k12.ga.us/staff/directory</t>
  </si>
  <si>
    <t xml:space="preserve">https://020.clayton.k12.ga.us</t>
  </si>
  <si>
    <t xml:space="preserve">Tiyon Watson</t>
  </si>
  <si>
    <t xml:space="preserve">tiyon.watson@clayton.k12.ga.us</t>
  </si>
  <si>
    <t xml:space="preserve">Malakia Wright</t>
  </si>
  <si>
    <t xml:space="preserve">malakia.wright@clayton.k12.ga.us</t>
  </si>
  <si>
    <t xml:space="preserve">Corey Stephens</t>
  </si>
  <si>
    <t xml:space="preserve">corey.stephens@clayton.k12.ga.us</t>
  </si>
  <si>
    <t xml:space="preserve">Jelani Narcisse</t>
  </si>
  <si>
    <t xml:space="preserve">jelani.narcisse@clayton.k12.ga.us</t>
  </si>
  <si>
    <t xml:space="preserve">Rex Mill Middle School</t>
  </si>
  <si>
    <t xml:space="preserve">Rose Powell</t>
  </si>
  <si>
    <t xml:space="preserve">rose.powell@clayton.k12.ga.us</t>
  </si>
  <si>
    <t xml:space="preserve">https://029.clayton.k12.ga.us</t>
  </si>
  <si>
    <t xml:space="preserve">Jarrett Proctor</t>
  </si>
  <si>
    <t xml:space="preserve">jarrett.proctor@clayton.k12.ga.us</t>
  </si>
  <si>
    <t xml:space="preserve">Anthony Barnes</t>
  </si>
  <si>
    <t xml:space="preserve">anthony.barnes@clayton.k12.ga.us</t>
  </si>
  <si>
    <t xml:space="preserve">Breonca Ashley</t>
  </si>
  <si>
    <t xml:space="preserve">breonca.ashley@clayton.k12.ga.us</t>
  </si>
  <si>
    <t xml:space="preserve">Riverdale Middle School</t>
  </si>
  <si>
    <t xml:space="preserve">Eugene Bridges</t>
  </si>
  <si>
    <t xml:space="preserve">eugene.bridges@clayton.k12.ga.us</t>
  </si>
  <si>
    <t xml:space="preserve">https://018.clayton.k12.ga.us/directory</t>
  </si>
  <si>
    <t xml:space="preserve">https://018.clayton.k12.ga.us</t>
  </si>
  <si>
    <t xml:space="preserve">Tammy Weatherspoon</t>
  </si>
  <si>
    <t xml:space="preserve">tammy.weatherspoon@clayton.k12.ga.us</t>
  </si>
  <si>
    <t xml:space="preserve">Cedrick Coleman</t>
  </si>
  <si>
    <t xml:space="preserve">cedrick.coleman@clayton.k12.ga.us</t>
  </si>
  <si>
    <t xml:space="preserve">Mr. Smith (Michael Smith II)</t>
  </si>
  <si>
    <t xml:space="preserve">Science Department Chair (8th grade team)</t>
  </si>
  <si>
    <t xml:space="preserve">michael.smithii@clayton.k12.ga.us</t>
  </si>
  <si>
    <t xml:space="preserve">https://018.clayton.k12.ga.us/directory/8th-grade-team</t>
  </si>
  <si>
    <t xml:space="preserve">Listed as "Mr. Smith (Science Department Chair)" on the 8th Grade Team page; first name inferred from email only. Directory profile lists multiple locations: Mundy'S Mill Ms, Riverdale Ms.</t>
  </si>
  <si>
    <t xml:space="preserve">Catrina Edwards</t>
  </si>
  <si>
    <t xml:space="preserve">catrina.edwards@clayton.k12.ga.us</t>
  </si>
  <si>
    <t xml:space="preserve">Sequoyah Middle School</t>
  </si>
  <si>
    <t xml:space="preserve">https://028.clayton.k12.ga.us</t>
  </si>
  <si>
    <t xml:space="preserve">Jhamare Hartsfield</t>
  </si>
  <si>
    <t xml:space="preserve">jhamare.hartsfield@clayton.k12.ga.us</t>
  </si>
  <si>
    <t xml:space="preserve">Sonja Bennings</t>
  </si>
  <si>
    <t xml:space="preserve">sonja.bennings@clayton.k12.ga.us</t>
  </si>
  <si>
    <t xml:space="preserve">Lawrence Yarbrough</t>
  </si>
  <si>
    <t xml:space="preserve">lawrence.yarbrough@clayton.k12.ga.us</t>
  </si>
  <si>
    <t xml:space="preserve">Directory profile lists multiple locations: Forest Park Ms, Sequoyah Ms.</t>
  </si>
  <si>
    <t xml:space="preserve">Henretta Reese</t>
  </si>
  <si>
    <t xml:space="preserve">henretta.reese@clayton.k12.ga.us</t>
  </si>
  <si>
    <t xml:space="preserve">Utopian Academy for the Arts Middle School</t>
  </si>
  <si>
    <t xml:space="preserve">Toujour Eugene</t>
  </si>
  <si>
    <t xml:space="preserve">Animation &amp; Coding Teacher</t>
  </si>
  <si>
    <t xml:space="preserve">Animation &amp; Coding</t>
  </si>
  <si>
    <t xml:space="preserve">toujour.eugene@utopianacademy.com</t>
  </si>
  <si>
    <t xml:space="preserve">https://utopianacademyforthearts.com/middleschoolteam/</t>
  </si>
  <si>
    <t xml:space="preserve">https://utopianacademyforthearts.com/middleschoolhome/</t>
  </si>
  <si>
    <t xml:space="preserve">Travis Joshua</t>
  </si>
  <si>
    <t xml:space="preserve">Principal, UAFA Middle School</t>
  </si>
  <si>
    <t xml:space="preserve">travis.joshua@utopianacademy.com</t>
  </si>
  <si>
    <t xml:space="preserve">Also listed on the official CCPS Charter Schools page: https://www.clayton.k12.ga.us/departments/charter-school-petition-guidelines/ccps-charter-schools</t>
  </si>
  <si>
    <t xml:space="preserve">Dr. Artesius Miller</t>
  </si>
  <si>
    <t xml:space="preserve">Founder &amp; CEO, UAFA Charter Network</t>
  </si>
  <si>
    <t xml:space="preserve">Network Leadership</t>
  </si>
  <si>
    <t xml:space="preserve">artesius.miller@utopianacademy.com</t>
  </si>
  <si>
    <t xml:space="preserve">https://utopianacademyforthearts.com/uafaleadership/</t>
  </si>
  <si>
    <t xml:space="preserve">Network-level decision maker for all UAFA campuses (also relevant to UAFA High School).</t>
  </si>
  <si>
    <t xml:space="preserve">Christopher Starks</t>
  </si>
  <si>
    <t xml:space="preserve">8th Grade Science Teacher</t>
  </si>
  <si>
    <t xml:space="preserve">christopher.starks@utopianacademy.com</t>
  </si>
  <si>
    <t xml:space="preserve">Damion Miller</t>
  </si>
  <si>
    <t xml:space="preserve">Dean of Students</t>
  </si>
  <si>
    <t xml:space="preserve">damion.miller@utopianacademy.com</t>
  </si>
  <si>
    <t xml:space="preserve">Charles R. Drew High School</t>
  </si>
  <si>
    <t xml:space="preserve">Phillip Noble</t>
  </si>
  <si>
    <t xml:space="preserve">phillip.noble@clayton.k12.ga.us</t>
  </si>
  <si>
    <t xml:space="preserve">https://315.clayton.k12.ga.us/staff/directory</t>
  </si>
  <si>
    <t xml:space="preserve">https://315.clayton.k12.ga.us</t>
  </si>
  <si>
    <t xml:space="preserve">Tiffany Mays</t>
  </si>
  <si>
    <t xml:space="preserve">Teacher-Career Technical Instruction (cti)</t>
  </si>
  <si>
    <t xml:space="preserve">CTAE</t>
  </si>
  <si>
    <t xml:space="preserve">tiffany.mays@clayton.k12.ga.us</t>
  </si>
  <si>
    <t xml:space="preserve">Tangela Benjamin</t>
  </si>
  <si>
    <t xml:space="preserve">Principal-High School</t>
  </si>
  <si>
    <t xml:space="preserve">tangela.benjamin@clayton.k12.ga.us</t>
  </si>
  <si>
    <t xml:space="preserve">Kenneth Chong</t>
  </si>
  <si>
    <t xml:space="preserve">Science Department Chair; Physics/AP Physics Teacher</t>
  </si>
  <si>
    <t xml:space="preserve">kenneth.chong@clayton.k12.ga.us</t>
  </si>
  <si>
    <t xml:space="preserve">https://315.clayton.k12.ga.us/staff</t>
  </si>
  <si>
    <t xml:space="preserve">Described as Science Department Chair (2024-25 Teacher of the Year blurb on staff page).</t>
  </si>
  <si>
    <t xml:space="preserve">Dennis Truitt</t>
  </si>
  <si>
    <t xml:space="preserve">Ast Principal-High School</t>
  </si>
  <si>
    <t xml:space="preserve">dennis.truitt@clayton.k12.ga.us</t>
  </si>
  <si>
    <t xml:space="preserve">Forest Park High School</t>
  </si>
  <si>
    <t xml:space="preserve">Jimmie Fox</t>
  </si>
  <si>
    <t xml:space="preserve">JROTC Instructor; Robotics Club Sponsor</t>
  </si>
  <si>
    <t xml:space="preserve">Robotics Club</t>
  </si>
  <si>
    <t xml:space="preserve">jimmie.fox@clayton.k12.ga.us</t>
  </si>
  <si>
    <t xml:space="preserve">https://001.clayton.k12.ga.us/clubs-org/robotics</t>
  </si>
  <si>
    <t xml:space="preserve">https://001.clayton.k12.ga.us</t>
  </si>
  <si>
    <t xml:space="preserve">Named Robotics Club sponsor on the school robotics club page.</t>
  </si>
  <si>
    <t xml:space="preserve">Mia Walker</t>
  </si>
  <si>
    <t xml:space="preserve">Information Technology Teacher; TSA Sponsor</t>
  </si>
  <si>
    <t xml:space="preserve">Technology Student Association (TSA) / CTAE</t>
  </si>
  <si>
    <t xml:space="preserve">mia.walker@clayton.k12.ga.us</t>
  </si>
  <si>
    <t xml:space="preserve">https://001.clayton.k12.ga.us/clubs-org/tsa</t>
  </si>
  <si>
    <t xml:space="preserve">TSA sponsor per school club page; directory title Teacher-Information Technology.</t>
  </si>
  <si>
    <t xml:space="preserve">Charles Stafford</t>
  </si>
  <si>
    <t xml:space="preserve">Teacher-Information Technology</t>
  </si>
  <si>
    <t xml:space="preserve">Information Technology (CTAE)</t>
  </si>
  <si>
    <t xml:space="preserve">charles.stafford@clayton.k12.ga.us</t>
  </si>
  <si>
    <t xml:space="preserve">https://001.clayton.k12.ga.us/staff</t>
  </si>
  <si>
    <t xml:space="preserve">Kim Dancy</t>
  </si>
  <si>
    <t xml:space="preserve">kim.dancy@clayton.k12.ga.us</t>
  </si>
  <si>
    <t xml:space="preserve">Carline Richardson</t>
  </si>
  <si>
    <t xml:space="preserve">Teacher-Science</t>
  </si>
  <si>
    <t xml:space="preserve">carline.richardson@clayton.k12.ga.us</t>
  </si>
  <si>
    <t xml:space="preserve">Jonesboro High School</t>
  </si>
  <si>
    <t xml:space="preserve">Andrew Cox</t>
  </si>
  <si>
    <t xml:space="preserve">Engineering (CTAE) / TSA</t>
  </si>
  <si>
    <t xml:space="preserve">john.cox@clayton.k12.ga.us</t>
  </si>
  <si>
    <t xml:space="preserve">https://002.clayton.k12.ga.us/staff/directory</t>
  </si>
  <si>
    <t xml:space="preserve">https://002.clayton.k12.ga.us</t>
  </si>
  <si>
    <t xml:space="preserve">Directory: Teacher-Engineering/Technology (email john.cox@ per directory profile and staff page). Science dept page also lists an Andrew Cox as chairperson with Andrew.Cox@ address - pages conflict; directory profile address used.</t>
  </si>
  <si>
    <t xml:space="preserve">Dr. Martina Morris-Orr</t>
  </si>
  <si>
    <t xml:space="preserve">martina.morris-orr@clayton.k12.ga.us</t>
  </si>
  <si>
    <t xml:space="preserve">William Dean</t>
  </si>
  <si>
    <t xml:space="preserve">william.dean@clayton.k12.ga.us</t>
  </si>
  <si>
    <t xml:space="preserve">Tenisha Bailey</t>
  </si>
  <si>
    <t xml:space="preserve">tenisha.bailey@clayton.k12.ga.us</t>
  </si>
  <si>
    <t xml:space="preserve">Katherine Williams-Tanner</t>
  </si>
  <si>
    <t xml:space="preserve">katherine.williams-tanner@clayton.k12.ga.us</t>
  </si>
  <si>
    <t xml:space="preserve">Lovejoy High School</t>
  </si>
  <si>
    <t xml:space="preserve">Laticsha Elder</t>
  </si>
  <si>
    <t xml:space="preserve">laticsha.elder@clayton.k12.ga.us</t>
  </si>
  <si>
    <t xml:space="preserve">https://006.clayton.k12.ga.us/departments/faculty-staff</t>
  </si>
  <si>
    <t xml:space="preserve">https://006.clayton.k12.ga.us</t>
  </si>
  <si>
    <t xml:space="preserve">Kelvin Griffin</t>
  </si>
  <si>
    <t xml:space="preserve">kelvin.griffin@clayton.k12.ga.us</t>
  </si>
  <si>
    <t xml:space="preserve">Directory profile lists multiple locations: Lovejoy Hs, White Academy Ms.</t>
  </si>
  <si>
    <t xml:space="preserve">Dwayne Boddie</t>
  </si>
  <si>
    <t xml:space="preserve">dwayne.boddie@clayton.k12.ga.us</t>
  </si>
  <si>
    <t xml:space="preserve">Simone Wilson-Hunt</t>
  </si>
  <si>
    <t xml:space="preserve">simone.wilson-hunt@clayton.k12.ga.us</t>
  </si>
  <si>
    <t xml:space="preserve">Cheryl Wilder</t>
  </si>
  <si>
    <t xml:space="preserve">cheryl.wilder@clayton.k12.ga.us</t>
  </si>
  <si>
    <t xml:space="preserve">Martha Ellen Stilwell School of the Arts</t>
  </si>
  <si>
    <t xml:space="preserve">Brenda Ross-Wilson</t>
  </si>
  <si>
    <t xml:space="preserve">brenda.ross-wilson@clayton.k12.ga.us</t>
  </si>
  <si>
    <t xml:space="preserve">https://316.clayton.k12.ga.us/staff/directory</t>
  </si>
  <si>
    <t xml:space="preserve">https://316.clayton.k12.ga.us</t>
  </si>
  <si>
    <t xml:space="preserve">Tomeka Crum</t>
  </si>
  <si>
    <t xml:space="preserve">tomeka.crum@clayton.k12.ga.us</t>
  </si>
  <si>
    <t xml:space="preserve">Britney Lee</t>
  </si>
  <si>
    <t xml:space="preserve">britney.lee@clayton.k12.ga.us</t>
  </si>
  <si>
    <t xml:space="preserve">Directory profile lists multiple locations: Fine Arts, Stilwell School Of The Arts, Theme Schools.</t>
  </si>
  <si>
    <t xml:space="preserve">Tanya Kirk</t>
  </si>
  <si>
    <t xml:space="preserve">tanya.kirk@clayton.k12.ga.us</t>
  </si>
  <si>
    <t xml:space="preserve">Directory profile lists multiple locations: Elite Scholars Academy, Stilwell School Of The Arts.</t>
  </si>
  <si>
    <t xml:space="preserve">Rebecca Brown</t>
  </si>
  <si>
    <t xml:space="preserve">rebecca.brown@clayton.k12.ga.us</t>
  </si>
  <si>
    <t xml:space="preserve">Morrow High School</t>
  </si>
  <si>
    <t xml:space="preserve">Noel Bosh</t>
  </si>
  <si>
    <t xml:space="preserve">noel.bosh@clayton.k12.ga.us</t>
  </si>
  <si>
    <t xml:space="preserve">https://003.clayton.k12.ga.us/staff</t>
  </si>
  <si>
    <t xml:space="preserve">https://003.clayton.k12.ga.us</t>
  </si>
  <si>
    <t xml:space="preserve">Shanda Vasser</t>
  </si>
  <si>
    <t xml:space="preserve">Magnet Specialist (grant Funded)</t>
  </si>
  <si>
    <t xml:space="preserve">shanda.vasser@clayton.k12.ga.us</t>
  </si>
  <si>
    <t xml:space="preserve">Victor Martinez</t>
  </si>
  <si>
    <t xml:space="preserve">Computer Science Teacher; TSA Sponsor</t>
  </si>
  <si>
    <t xml:space="preserve">TSA / Computer Science</t>
  </si>
  <si>
    <t xml:space="preserve">victor.martinezvargas@clayton.k12.ga.us</t>
  </si>
  <si>
    <t xml:space="preserve">https://003.clayton.k12.ga.us/clubs-and-organizations</t>
  </si>
  <si>
    <t xml:space="preserve">TSA sponsor per Clubs &amp; Organizations page.</t>
  </si>
  <si>
    <t xml:space="preserve">Lawvigneaud Harrell</t>
  </si>
  <si>
    <t xml:space="preserve">lawvigneaud.harrell@clayton.k12.ga.us</t>
  </si>
  <si>
    <t xml:space="preserve">Abeda Banu</t>
  </si>
  <si>
    <t xml:space="preserve">abeda.banu@clayton.k12.ga.us</t>
  </si>
  <si>
    <t xml:space="preserve">Mount Zion High School</t>
  </si>
  <si>
    <t xml:space="preserve">https://007.clayton.k12.ga.us</t>
  </si>
  <si>
    <t xml:space="preserve">Lisa Williams</t>
  </si>
  <si>
    <t xml:space="preserve">lisa.williams@clayton.k12.ga.us</t>
  </si>
  <si>
    <t xml:space="preserve">Kimberly Grant</t>
  </si>
  <si>
    <t xml:space="preserve">kimberly.grant@clayton.k12.ga.us</t>
  </si>
  <si>
    <t xml:space="preserve">Anita Nair</t>
  </si>
  <si>
    <t xml:space="preserve">Science Department Chair</t>
  </si>
  <si>
    <t xml:space="preserve">anita.nair@clayton.k12.ga.us</t>
  </si>
  <si>
    <t xml:space="preserve">https://007.clayton.k12.ga.us/departments/academics/science</t>
  </si>
  <si>
    <t xml:space="preserve">Department Chair per Science department page.</t>
  </si>
  <si>
    <t xml:space="preserve">Madalyn Wallace</t>
  </si>
  <si>
    <t xml:space="preserve">madalyn.wallace@clayton.k12.ga.us</t>
  </si>
  <si>
    <t xml:space="preserve">Mundy's Mill High School</t>
  </si>
  <si>
    <t xml:space="preserve">Denise Lucas</t>
  </si>
  <si>
    <t xml:space="preserve">denise.lucas@clayton.k12.ga.us</t>
  </si>
  <si>
    <t xml:space="preserve">https://311.clayton.k12.ga.us</t>
  </si>
  <si>
    <t xml:space="preserve">Sheadric Barbra</t>
  </si>
  <si>
    <t xml:space="preserve">sheadric.barbra@clayton.k12.ga.us</t>
  </si>
  <si>
    <t xml:space="preserve">Arthur Carter</t>
  </si>
  <si>
    <t xml:space="preserve">arthur.carter@clayton.k12.ga.us</t>
  </si>
  <si>
    <t xml:space="preserve">Dennis Williamson</t>
  </si>
  <si>
    <t xml:space="preserve">dennis.williamson@clayton.k12.ga.us</t>
  </si>
  <si>
    <t xml:space="preserve">Ayesha Siddiqua</t>
  </si>
  <si>
    <t xml:space="preserve">ayesha.siddiqua@clayton.k12.ga.us</t>
  </si>
  <si>
    <t xml:space="preserve">North Clayton High School</t>
  </si>
  <si>
    <t xml:space="preserve">Stefanie Barnes</t>
  </si>
  <si>
    <t xml:space="preserve">stefanie.barnes@clayton.k12.ga.us</t>
  </si>
  <si>
    <t xml:space="preserve">https://005.clayton.k12.ga.us/staff/directory</t>
  </si>
  <si>
    <t xml:space="preserve">https://004.clayton.k12.ga.us</t>
  </si>
  <si>
    <t xml:space="preserve">Directory profile lists multiple locations: North Clayton Hs, Riverdale Hs.</t>
  </si>
  <si>
    <t xml:space="preserve">Glen Alexander</t>
  </si>
  <si>
    <t xml:space="preserve">glen.alexander@clayton.k12.ga.us</t>
  </si>
  <si>
    <t xml:space="preserve">https://004.clayton.k12.ga.us/faculty-staff/directory</t>
  </si>
  <si>
    <t xml:space="preserve">James Scarborough</t>
  </si>
  <si>
    <t xml:space="preserve">james.scarborough@clayton.k12.ga.us</t>
  </si>
  <si>
    <t xml:space="preserve">Cedrick Howard</t>
  </si>
  <si>
    <t xml:space="preserve">cedrick.howard@clayton.k12.ga.us</t>
  </si>
  <si>
    <t xml:space="preserve">Alicia Freeman</t>
  </si>
  <si>
    <t xml:space="preserve">alicia.freeman@clayton.k12.ga.us</t>
  </si>
  <si>
    <t xml:space="preserve">Riverdale High School</t>
  </si>
  <si>
    <t xml:space="preserve">https://005.clayton.k12.ga.us</t>
  </si>
  <si>
    <t xml:space="preserve">Micah Johnson</t>
  </si>
  <si>
    <t xml:space="preserve">Computer Science Teacher (CTAE)</t>
  </si>
  <si>
    <t xml:space="preserve">micah.johnson@clayton.k12.ga.us</t>
  </si>
  <si>
    <t xml:space="preserve">https://005.clayton.k12.ga.us/departments/ctae-department</t>
  </si>
  <si>
    <t xml:space="preserve">Listed as Computer Science on CTAE page; directory title Teacher-Business Education.</t>
  </si>
  <si>
    <t xml:space="preserve">Pamela Harris</t>
  </si>
  <si>
    <t xml:space="preserve">CTAE Department Chairperson; Work-Based Learning</t>
  </si>
  <si>
    <t xml:space="preserve">pamela.harris@clayton.k12.ga.us</t>
  </si>
  <si>
    <t xml:space="preserve">CTAE Department Chairperson per CTAE page.</t>
  </si>
  <si>
    <t xml:space="preserve">Sharon Wilson</t>
  </si>
  <si>
    <t xml:space="preserve">sharon.wilson@clayton.k12.ga.us</t>
  </si>
  <si>
    <t xml:space="preserve">Directory profile lists multiple locations: Mundy'S Mill Hs, Riverdale Hs.</t>
  </si>
  <si>
    <t xml:space="preserve">Myeisha Wimbush</t>
  </si>
  <si>
    <t xml:space="preserve">Science Department Chairperson; Gifted Science</t>
  </si>
  <si>
    <t xml:space="preserve">myeisha.wimbush@clayton.k12.ga.us</t>
  </si>
  <si>
    <t xml:space="preserve">https://005.clayton.k12.ga.us/departments/science</t>
  </si>
  <si>
    <t xml:space="preserve">Department Chairperson per Science page.</t>
  </si>
  <si>
    <t xml:space="preserve">Perry Career Academy</t>
  </si>
  <si>
    <t xml:space="preserve">Joi Bynum</t>
  </si>
  <si>
    <t xml:space="preserve">CTAE Chairperson</t>
  </si>
  <si>
    <t xml:space="preserve">joi.bynum@clayton.k12.ga.us</t>
  </si>
  <si>
    <t xml:space="preserve">https://312.clayton.k12.ga.us/academics/ctae</t>
  </si>
  <si>
    <t xml:space="preserve">https://312.clayton.k12.ga.us</t>
  </si>
  <si>
    <t xml:space="preserve">CTAE Chairperson per CTAE page.</t>
  </si>
  <si>
    <t xml:space="preserve">Cynthia Freeman-Smalls</t>
  </si>
  <si>
    <t xml:space="preserve">cynthia.freeman-smalls@clayton.k12.ga.us</t>
  </si>
  <si>
    <t xml:space="preserve">https://312.clayton.k12.ga.us/staff/directory</t>
  </si>
  <si>
    <t xml:space="preserve">Kelly Salley</t>
  </si>
  <si>
    <t xml:space="preserve">Science Chairperson</t>
  </si>
  <si>
    <t xml:space="preserve">kelly.salley@clayton.k12.ga.us</t>
  </si>
  <si>
    <t xml:space="preserve">https://312.clayton.k12.ga.us/academics/science</t>
  </si>
  <si>
    <t xml:space="preserve">Chairperson per Science page.</t>
  </si>
  <si>
    <t xml:space="preserve">Kasondra Todd</t>
  </si>
  <si>
    <t xml:space="preserve">kasondra.todd@clayton.k12.ga.us</t>
  </si>
  <si>
    <t xml:space="preserve">Devon Bivins</t>
  </si>
  <si>
    <t xml:space="preserve">devon.bivins@clayton.k12.ga.us</t>
  </si>
  <si>
    <t xml:space="preserve">Directory profile lists multiple locations: Mundy'S Mill Hs, Perry Career Academy/Open Camp.</t>
  </si>
  <si>
    <t xml:space="preserve">Utopian Academy for the Arts High School</t>
  </si>
  <si>
    <t xml:space="preserve">Michael Rosemond</t>
  </si>
  <si>
    <t xml:space="preserve">Computer Science &amp; Coding Teacher</t>
  </si>
  <si>
    <t xml:space="preserve">Computer Science</t>
  </si>
  <si>
    <t xml:space="preserve">michael.rosemond@utopianacademy.com</t>
  </si>
  <si>
    <t xml:space="preserve">https://utopianacademyforthearts.com/high-team/</t>
  </si>
  <si>
    <t xml:space="preserve">https://utopianacademyforthearts.com/uafahighschool/</t>
  </si>
  <si>
    <t xml:space="preserve">Khadijah Turner</t>
  </si>
  <si>
    <t xml:space="preserve">Principal, UAFA High School</t>
  </si>
  <si>
    <t xml:space="preserve">(not published)</t>
  </si>
  <si>
    <t xml:space="preserve">Not publicly available - not usable for outreach</t>
  </si>
  <si>
    <t xml:space="preserve">Named principal on school and CCPS charter pages, but no email is published for her; contact via school phone (470) 568-4464.</t>
  </si>
  <si>
    <t xml:space="preserve">Retse Johnson-Daniels</t>
  </si>
  <si>
    <t xml:space="preserve">Science / STEM (Exceptional Education) Teacher</t>
  </si>
  <si>
    <t xml:space="preserve">Science / STEM</t>
  </si>
  <si>
    <t xml:space="preserve">retse.johnson-daniels@utopianacademy.com</t>
  </si>
  <si>
    <t xml:space="preserve">Keana Miller</t>
  </si>
  <si>
    <t xml:space="preserve">Academic Coordinator</t>
  </si>
  <si>
    <t xml:space="preserve">Academics</t>
  </si>
  <si>
    <t xml:space="preserve">keana.miller@utopianacademy.com</t>
  </si>
  <si>
    <t xml:space="preserve">Leadership page lists a "Keana Millar, Instructional Coach" (keana.millar@) - possibly the same person; high-team page address used.</t>
  </si>
  <si>
    <t xml:space="preserve">Talithia Davis</t>
  </si>
  <si>
    <t xml:space="preserve">Math &amp; Science Teacher</t>
  </si>
  <si>
    <t xml:space="preserve">talithia.davis@utopianacademy.com</t>
  </si>
  <si>
    <t xml:space="preserve">Paul Johnson</t>
  </si>
  <si>
    <t xml:space="preserve">High School Dean; Testing Coordinator</t>
  </si>
  <si>
    <t xml:space="preserve">paul.johnson@utopianacademy.com</t>
  </si>
  <si>
    <t xml:space="preserve">Elite Scholars Academy</t>
  </si>
  <si>
    <t xml:space="preserve">Combined</t>
  </si>
  <si>
    <t xml:space="preserve">Lee Wright</t>
  </si>
  <si>
    <t xml:space="preserve">Computer Science / AP US History Teacher</t>
  </si>
  <si>
    <t xml:space="preserve">lee.wright@clayton.k12.ga.us</t>
  </si>
  <si>
    <t xml:space="preserve">https://099.clayton.k12.ga.us/staff/directory</t>
  </si>
  <si>
    <t xml:space="preserve">https://099.clayton.k12.ga.us</t>
  </si>
  <si>
    <t xml:space="preserve">Staff page lists Ms. Wright teaching Foundations of Computer Science Programming.</t>
  </si>
  <si>
    <t xml:space="preserve">Samuel West</t>
  </si>
  <si>
    <t xml:space="preserve">samuel.west@clayton.k12.ga.us</t>
  </si>
  <si>
    <t xml:space="preserve">https://099.clayton.k12.ga.us/staff</t>
  </si>
  <si>
    <t xml:space="preserve">Brandi Mather</t>
  </si>
  <si>
    <t xml:space="preserve">Teacher-Gifted Science-Elite</t>
  </si>
  <si>
    <t xml:space="preserve">brandi.mather@clayton.k12.ga.us</t>
  </si>
  <si>
    <t xml:space="preserve">Phillip Ramsey</t>
  </si>
  <si>
    <t xml:space="preserve">phillip.ramsey@clayton.k12.ga.us</t>
  </si>
  <si>
    <t xml:space="preserve">Tapestry Public Charter School (Clayton campus)</t>
  </si>
  <si>
    <t xml:space="preserve">Maria Kepler</t>
  </si>
  <si>
    <t xml:space="preserve">maria.kepler@tapestrycharter.org</t>
  </si>
  <si>
    <t xml:space="preserve">Verified - official district webpage</t>
  </si>
  <si>
    <t xml:space="preserve">https://www.clayton.k12.ga.us/departments/charter-school-petition-guidelines/ccps-charter-schools</t>
  </si>
  <si>
    <t xml:space="preserve">https://tapestrycharter.org/clayton/</t>
  </si>
  <si>
    <t xml:space="preserve">Also listed as Principal on https://tapestrycharter.org/clayton/faculty-directory/ (no emails published there).</t>
  </si>
  <si>
    <t xml:space="preserve">Sharia Wilson-Hillman</t>
  </si>
  <si>
    <t xml:space="preserve">7th/8th &amp; HS Science Teacher</t>
  </si>
  <si>
    <t xml:space="preserve">https://tapestrycharter.org/clayton/faculty-directory/</t>
  </si>
  <si>
    <t xml:space="preserve">Faculty directory publishes names only; no email published.</t>
  </si>
  <si>
    <t xml:space="preserve">Ash Street Center (South Metro GNETS)</t>
  </si>
  <si>
    <t xml:space="preserve">Derrick Gilchrist</t>
  </si>
  <si>
    <t xml:space="preserve">Director, South Metro GNETS</t>
  </si>
  <si>
    <t xml:space="preserve">derrick.gilchrist@clayton.k12.ga.us</t>
  </si>
  <si>
    <t xml:space="preserve">https://009.clayton.k12.ga.us/about/principals-corner</t>
  </si>
  <si>
    <t xml:space="preserve">https://009.clayton.k12.ga.us</t>
  </si>
  <si>
    <t xml:space="preserve">GNETS therapeutic program (special education), not a standard school; low fit.</t>
  </si>
  <si>
    <t xml:space="preserve">Cherokee County School District</t>
  </si>
  <si>
    <t xml:space="preserve">Creekland Middle School</t>
  </si>
  <si>
    <t xml:space="preserve">Eric Norris</t>
  </si>
  <si>
    <t xml:space="preserve">STEM Teacher (Gr 6-8)</t>
  </si>
  <si>
    <t xml:space="preserve">STEM (Connections)</t>
  </si>
  <si>
    <t xml:space="preserve">eric.norris@cherokeek12.net</t>
  </si>
  <si>
    <t xml:space="preserve">https://cms.cherokeek12.net/facultystaff</t>
  </si>
  <si>
    <t xml:space="preserve">https://cms.cherokeek12.net</t>
  </si>
  <si>
    <t xml:space="preserve">Anne Benton</t>
  </si>
  <si>
    <t xml:space="preserve">Computer Science Teacher (Gr 6-8)</t>
  </si>
  <si>
    <t xml:space="preserve">anne.benton@cherokeek12.net</t>
  </si>
  <si>
    <t xml:space="preserve">Phil Dodge</t>
  </si>
  <si>
    <t xml:space="preserve">Explore Technology Teacher (Gr 6-8)</t>
  </si>
  <si>
    <t xml:space="preserve">phil.dodge@cherokeek12.net</t>
  </si>
  <si>
    <t xml:space="preserve">Josh Martin</t>
  </si>
  <si>
    <t xml:space="preserve">josh.martin@cherokeek12.net</t>
  </si>
  <si>
    <t xml:space="preserve">https://cms.cherokeek12.net/administration</t>
  </si>
  <si>
    <t xml:space="preserve">Carmen Power</t>
  </si>
  <si>
    <t xml:space="preserve">Science Enrichment Teacher (Gr 6-8)</t>
  </si>
  <si>
    <t xml:space="preserve">carmen.power@cherokeek12.net</t>
  </si>
  <si>
    <t xml:space="preserve">Dean Rusk Middle School</t>
  </si>
  <si>
    <t xml:space="preserve">Teresa Hutto</t>
  </si>
  <si>
    <t xml:space="preserve">STEM Teacher</t>
  </si>
  <si>
    <t xml:space="preserve">teresa.hutto@cherokeek12.net</t>
  </si>
  <si>
    <t xml:space="preserve">https://drms.cherokeek12.net/facultystaff-2-clone-clone-clone</t>
  </si>
  <si>
    <t xml:space="preserve">https://drms.cherokeek12.net</t>
  </si>
  <si>
    <t xml:space="preserve">Jennifer Campbell</t>
  </si>
  <si>
    <t xml:space="preserve">jennifer.campbell@cherokeek12.net</t>
  </si>
  <si>
    <t xml:space="preserve">Jacob Pendergraft</t>
  </si>
  <si>
    <t xml:space="preserve">Technology Teacher</t>
  </si>
  <si>
    <t xml:space="preserve">jacob.pendergraft@cherokeek12.net</t>
  </si>
  <si>
    <t xml:space="preserve">Dawn Weinbaum</t>
  </si>
  <si>
    <t xml:space="preserve">dawn.weinbaum@cherokeek12.net</t>
  </si>
  <si>
    <t xml:space="preserve">https://drms.cherokeek12.net/administration-clone-clone-clone</t>
  </si>
  <si>
    <t xml:space="preserve">Alison Alderfer</t>
  </si>
  <si>
    <t xml:space="preserve">Science Teacher</t>
  </si>
  <si>
    <t xml:space="preserve">alison.alderfer@cherokeek12.net</t>
  </si>
  <si>
    <t xml:space="preserve">E.T. Booth Middle School</t>
  </si>
  <si>
    <t xml:space="preserve">Todd Sharrock</t>
  </si>
  <si>
    <t xml:space="preserve">todd.sharrock@cherokeek12.net</t>
  </si>
  <si>
    <t xml:space="preserve">https://etbms.cherokeek12.net/administration</t>
  </si>
  <si>
    <t xml:space="preserve">https://etbms.cherokeek12.net</t>
  </si>
  <si>
    <t xml:space="preserve">Principal bio notes he began as a Computer Science Connections teacher and co-sponsored an Aeronautics Team.</t>
  </si>
  <si>
    <t xml:space="preserve">Dr. Judy Wright</t>
  </si>
  <si>
    <t xml:space="preserve">8th Grade Assistant Principal</t>
  </si>
  <si>
    <t xml:space="preserve">judy.wright@cherokeek12.net</t>
  </si>
  <si>
    <t xml:space="preserve">Beth Coryell</t>
  </si>
  <si>
    <t xml:space="preserve">7th Grade Assistant Principal</t>
  </si>
  <si>
    <t xml:space="preserve">beth.coryell@cherokeek12.net</t>
  </si>
  <si>
    <t xml:space="preserve">Carlie Young</t>
  </si>
  <si>
    <t xml:space="preserve">6th Grade Assistant Principal</t>
  </si>
  <si>
    <t xml:space="preserve">carlie.young@cherokeek12.net</t>
  </si>
  <si>
    <t xml:space="preserve">Freedom Middle School</t>
  </si>
  <si>
    <t xml:space="preserve">Stephanie Rutherford</t>
  </si>
  <si>
    <t xml:space="preserve">Robotics Teacher (Connections)</t>
  </si>
  <si>
    <t xml:space="preserve">Robotics (Connections)</t>
  </si>
  <si>
    <t xml:space="preserve">stephanie.rutherford@cherokeek12.net</t>
  </si>
  <si>
    <t xml:space="preserve">https://fms.cherokeek12.net/facultystaff</t>
  </si>
  <si>
    <t xml:space="preserve">https://fms.cherokeek12.net</t>
  </si>
  <si>
    <t xml:space="preserve">Faculty directory lists subject as Robotics.</t>
  </si>
  <si>
    <t xml:space="preserve">Edwin Rodriguez</t>
  </si>
  <si>
    <t xml:space="preserve">STEM/ESOL Connections Teacher; Science Olympiad Sponsor</t>
  </si>
  <si>
    <t xml:space="preserve">STEM / Science Olympiad</t>
  </si>
  <si>
    <t xml:space="preserve">edwin.rodriguez@cherokeek12.net</t>
  </si>
  <si>
    <t xml:space="preserve">Science Olympiad sponsor per clubs page (https://fms.cherokeek12.net/social-clubs-at-fms).</t>
  </si>
  <si>
    <t xml:space="preserve">Chad Flatt</t>
  </si>
  <si>
    <t xml:space="preserve">chad.flatt@cherokeek12.net</t>
  </si>
  <si>
    <t xml:space="preserve">Christy Bennett</t>
  </si>
  <si>
    <t xml:space="preserve">Science Teacher (Gr 7/8)</t>
  </si>
  <si>
    <t xml:space="preserve">christy.l.bennett@cherokeek12.net</t>
  </si>
  <si>
    <t xml:space="preserve">Heather Mitchell</t>
  </si>
  <si>
    <t xml:space="preserve">heather.mitchell@cherokeek12.net</t>
  </si>
  <si>
    <t xml:space="preserve">Mill Creek Middle School</t>
  </si>
  <si>
    <t xml:space="preserve">Samantha Daugherty</t>
  </si>
  <si>
    <t xml:space="preserve">STEM Teacher (Connections)</t>
  </si>
  <si>
    <t xml:space="preserve">samantha.daugherty@cherokeek12.net</t>
  </si>
  <si>
    <t xml:space="preserve">https://mcms.cherokeek12.net/facultystaff</t>
  </si>
  <si>
    <t xml:space="preserve">https://mcms.cherokeek12.net</t>
  </si>
  <si>
    <t xml:space="preserve">Mark Markley</t>
  </si>
  <si>
    <t xml:space="preserve">Computer Science Teacher (Connections)</t>
  </si>
  <si>
    <t xml:space="preserve">mark.markley@cherokeek12.net</t>
  </si>
  <si>
    <t xml:space="preserve">Ryan Brumbelow</t>
  </si>
  <si>
    <t xml:space="preserve">Technology Teacher (Connections)</t>
  </si>
  <si>
    <t xml:space="preserve">ryan.brumbelow@cherokeek12.net</t>
  </si>
  <si>
    <t xml:space="preserve">Jason Meade</t>
  </si>
  <si>
    <t xml:space="preserve">jason.meade@cherokeek12.net</t>
  </si>
  <si>
    <t xml:space="preserve">https://mcms.cherokeek12.net/administration</t>
  </si>
  <si>
    <t xml:space="preserve">School Council page still lists a former principal; Administration page used.</t>
  </si>
  <si>
    <t xml:space="preserve">Lynn Cooper</t>
  </si>
  <si>
    <t xml:space="preserve">Science Teacher (Gr 7)</t>
  </si>
  <si>
    <t xml:space="preserve">lynn.cooper@cherokeek12.net</t>
  </si>
  <si>
    <t xml:space="preserve">Teasley Middle School</t>
  </si>
  <si>
    <t xml:space="preserve">Kathie Monti</t>
  </si>
  <si>
    <t xml:space="preserve">kathie.monti@cherokeek12.net</t>
  </si>
  <si>
    <t xml:space="preserve">https://tms.cherokeek12.net/facultystaff</t>
  </si>
  <si>
    <t xml:space="preserve">https://tms.cherokeek12.net</t>
  </si>
  <si>
    <t xml:space="preserve">Kari Barbour</t>
  </si>
  <si>
    <t xml:space="preserve">kari.barbour@cherokeek12.net</t>
  </si>
  <si>
    <t xml:space="preserve">Dr. Lesia Griffin</t>
  </si>
  <si>
    <t xml:space="preserve">lesia.griffin@cherokeek12.net</t>
  </si>
  <si>
    <t xml:space="preserve">Nicolette Abbott</t>
  </si>
  <si>
    <t xml:space="preserve">nicolette.abbott@cherokeek12.net</t>
  </si>
  <si>
    <t xml:space="preserve">Woodstock Middle School</t>
  </si>
  <si>
    <t xml:space="preserve">Genevieve McGarry</t>
  </si>
  <si>
    <t xml:space="preserve">Technology &amp; Engineering Teacher</t>
  </si>
  <si>
    <t xml:space="preserve">genevieve.mcgarry@cherokeek12.net</t>
  </si>
  <si>
    <t xml:space="preserve">https://wms.cherokeek12.net/facultystaff</t>
  </si>
  <si>
    <t xml:space="preserve">https://wms.cherokeek12.net</t>
  </si>
  <si>
    <t xml:space="preserve">Joi Marques</t>
  </si>
  <si>
    <t xml:space="preserve">joi.marques@cherokeek12.net</t>
  </si>
  <si>
    <t xml:space="preserve">Susan Stringfellow</t>
  </si>
  <si>
    <t xml:space="preserve">susan.stringfellow@cherokeek12.net</t>
  </si>
  <si>
    <t xml:space="preserve">Elizabeth Spell</t>
  </si>
  <si>
    <t xml:space="preserve">elizabeth.spell@cherokeek12.net</t>
  </si>
  <si>
    <t xml:space="preserve">https://wms.cherokeek12.net/administration</t>
  </si>
  <si>
    <t xml:space="preserve">Connor Covington</t>
  </si>
  <si>
    <t xml:space="preserve">6th Grade Science Teacher</t>
  </si>
  <si>
    <t xml:space="preserve">connor.covington@cherokeek12.net</t>
  </si>
  <si>
    <t xml:space="preserve">Cherokee High School</t>
  </si>
  <si>
    <t xml:space="preserve">Andrew Hall</t>
  </si>
  <si>
    <t xml:space="preserve">andrew.hall@cherokeek12.net</t>
  </si>
  <si>
    <t xml:space="preserve">https://chs.cherokeek12.net/administration/principals-message</t>
  </si>
  <si>
    <t xml:space="preserve">https://chs.cherokeek12.net</t>
  </si>
  <si>
    <t xml:space="preserve">Connie Ard</t>
  </si>
  <si>
    <t xml:space="preserve">Assistant Principal - CTAE oversight</t>
  </si>
  <si>
    <t xml:space="preserve">connie.ard@cherokeek12.net</t>
  </si>
  <si>
    <t xml:space="preserve">https://chs.cherokeek12.net/administration/assistant-principals</t>
  </si>
  <si>
    <t xml:space="preserve">Oversees CTAE, career advisement.</t>
  </si>
  <si>
    <t xml:space="preserve">Dr. Beth Watkins</t>
  </si>
  <si>
    <t xml:space="preserve">Assistant Principal - Science &amp; Special Education oversight</t>
  </si>
  <si>
    <t xml:space="preserve">beth.watkins@cherokeek12.net</t>
  </si>
  <si>
    <t xml:space="preserve">Dr. Christian Kirby</t>
  </si>
  <si>
    <t xml:space="preserve">Assistant Principal - Technology &amp; World Language oversight</t>
  </si>
  <si>
    <t xml:space="preserve">Technology</t>
  </si>
  <si>
    <t xml:space="preserve">christian.kirby@cherokeek12.net</t>
  </si>
  <si>
    <t xml:space="preserve">Jennifer Crowder</t>
  </si>
  <si>
    <t xml:space="preserve">AP Computer Science Teacher</t>
  </si>
  <si>
    <t xml:space="preserve">https://chs.cherokeek12.net/studentservices</t>
  </si>
  <si>
    <t xml:space="preserve">Listed as AP Computer Sciences teacher; CHS publishes no faculty email directory.</t>
  </si>
  <si>
    <t xml:space="preserve">Creekview High School</t>
  </si>
  <si>
    <t xml:space="preserve">Terri Hancock</t>
  </si>
  <si>
    <t xml:space="preserve">Career Tech Teacher; TSA (Technology Student Association) Sponsor</t>
  </si>
  <si>
    <t xml:space="preserve">TSA / CTAE</t>
  </si>
  <si>
    <t xml:space="preserve">terri.hancock@cherokeek12.net</t>
  </si>
  <si>
    <t xml:space="preserve">https://cvhs.cherokeek12.net/facultystaff</t>
  </si>
  <si>
    <t xml:space="preserve">https://cvhs.cherokeek12.net</t>
  </si>
  <si>
    <t xml:space="preserve">TSA sponsor (STEM competitions) per Student Activities page (https://cvhs.cherokeek12.net/cvhs-extra-pages/student-activities).</t>
  </si>
  <si>
    <t xml:space="preserve">Mark Vance</t>
  </si>
  <si>
    <t xml:space="preserve">mark.vance@cherokeek12.net</t>
  </si>
  <si>
    <t xml:space="preserve">https://cvhs.cherokeek12.net/administration</t>
  </si>
  <si>
    <t xml:space="preserve">Lisa Funderburk</t>
  </si>
  <si>
    <t xml:space="preserve">Assistant Principal - CTAE</t>
  </si>
  <si>
    <t xml:space="preserve">lisa.funderburk@cherokeek12.net</t>
  </si>
  <si>
    <t xml:space="preserve">Nick Singleton</t>
  </si>
  <si>
    <t xml:space="preserve">Assistant Principal - Curriculum</t>
  </si>
  <si>
    <t xml:space="preserve">Curriculum</t>
  </si>
  <si>
    <t xml:space="preserve">nicholas.singleton@cherokeek12.net</t>
  </si>
  <si>
    <t xml:space="preserve">Jeremy Andrews</t>
  </si>
  <si>
    <t xml:space="preserve">jeremy.andrews@cherokeek12.net</t>
  </si>
  <si>
    <t xml:space="preserve">Etowah High School</t>
  </si>
  <si>
    <t xml:space="preserve">Lindsay Dean</t>
  </si>
  <si>
    <t xml:space="preserve">CTAE Teacher - Drafting</t>
  </si>
  <si>
    <t xml:space="preserve">CTAE (Drafting/Design)</t>
  </si>
  <si>
    <t xml:space="preserve">lindsay.dean@cherokeek12.net</t>
  </si>
  <si>
    <t xml:space="preserve">https://ehs.cherokeek12.net/facultystaff/facultystaff-list</t>
  </si>
  <si>
    <t xml:space="preserve">https://ehs.cherokeek12.net</t>
  </si>
  <si>
    <t xml:space="preserve">Ken Nix</t>
  </si>
  <si>
    <t xml:space="preserve">ken.nix@cherokeek12.net</t>
  </si>
  <si>
    <t xml:space="preserve">https://ehs.cherokeek12.net/administration/school-leadership</t>
  </si>
  <si>
    <t xml:space="preserve">John Murnan</t>
  </si>
  <si>
    <t xml:space="preserve">Science Department Head</t>
  </si>
  <si>
    <t xml:space="preserve">john.murnan@cherokeek12.net</t>
  </si>
  <si>
    <t xml:space="preserve">Department Head per Science department page (https://ehs.cherokeek12.net/facultystaff/departments/science).</t>
  </si>
  <si>
    <t xml:space="preserve">Dr. Brett Pinckard</t>
  </si>
  <si>
    <t xml:space="preserve">Curriculum Assistant Principal</t>
  </si>
  <si>
    <t xml:space="preserve">brett.pinckard@cherokeek12.net</t>
  </si>
  <si>
    <t xml:space="preserve">Janet Baggett</t>
  </si>
  <si>
    <t xml:space="preserve">Assistant Principal (oversees Technology, TAA, clubs)</t>
  </si>
  <si>
    <t xml:space="preserve">janet.baggett@cherokeek12.net</t>
  </si>
  <si>
    <t xml:space="preserve">River Ridge High School</t>
  </si>
  <si>
    <t xml:space="preserve">Judi Haggerty</t>
  </si>
  <si>
    <t xml:space="preserve">Engineering &amp; Technology Teacher; Robotics Club Supervisor</t>
  </si>
  <si>
    <t xml:space="preserve">Robotics (VEX) / Engineering (CTAE)</t>
  </si>
  <si>
    <t xml:space="preserve">judi.haggerty@cherokeek12.net</t>
  </si>
  <si>
    <t xml:space="preserve">https://rrhs.cherokeek12.net/staff/staff-list</t>
  </si>
  <si>
    <t xml:space="preserve">https://rrhs.cherokeek12.net</t>
  </si>
  <si>
    <t xml:space="preserve">Robotics club supervisor per Activities &amp; Clubs page (https://rrhs.cherokeek12.net/for-students/activities-clubs).</t>
  </si>
  <si>
    <t xml:space="preserve">Beckie Lee</t>
  </si>
  <si>
    <t xml:space="preserve">Computer Science &amp; Web Development Teacher; Cyber Knights Supervisor</t>
  </si>
  <si>
    <t xml:space="preserve">beckie.lee@cherokeek12.net</t>
  </si>
  <si>
    <t xml:space="preserve">Justin Sanderson</t>
  </si>
  <si>
    <t xml:space="preserve">justin.sanderson@cherokeek12.net</t>
  </si>
  <si>
    <t xml:space="preserve">https://rrhs.cherokeek12.net/staff/administration</t>
  </si>
  <si>
    <t xml:space="preserve">Stephanie Barber</t>
  </si>
  <si>
    <t xml:space="preserve">stephanie.barber@cherokeek12.net</t>
  </si>
  <si>
    <t xml:space="preserve">CTAE assignment per Administration page.</t>
  </si>
  <si>
    <t xml:space="preserve">Pamela Costa</t>
  </si>
  <si>
    <t xml:space="preserve">pamela.costa@cherokeek12.net</t>
  </si>
  <si>
    <t xml:space="preserve">Sequoyah High School</t>
  </si>
  <si>
    <t xml:space="preserve">Brandon Grummer</t>
  </si>
  <si>
    <t xml:space="preserve">CTAE Drafting Teacher; Robotics Team Sponsor (FIRST)</t>
  </si>
  <si>
    <t xml:space="preserve">Robotics Team / CTAE</t>
  </si>
  <si>
    <t xml:space="preserve">brandon.grummer@cherokeek12.net</t>
  </si>
  <si>
    <t xml:space="preserve">https://shs.cherokeek12.net/facultystaff</t>
  </si>
  <si>
    <t xml:space="preserve">https://shs.cherokeek12.net</t>
  </si>
  <si>
    <t xml:space="preserve">Robotics Team (FIRST Robotics, e-Nable) sponsor per Clubs page (https://shs.cherokeek12.net/student-activities/clubs).</t>
  </si>
  <si>
    <t xml:space="preserve">Brenda Beebe</t>
  </si>
  <si>
    <t xml:space="preserve">Science Teacher; Robotics Team Co-Sponsor</t>
  </si>
  <si>
    <t xml:space="preserve">Robotics Team / Science</t>
  </si>
  <si>
    <t xml:space="preserve">brenda.beebe@cherokeek12.net</t>
  </si>
  <si>
    <t xml:space="preserve">Clubs page spells the name "Brenda Beebee"; faculty directory email is brenda.beebe@.</t>
  </si>
  <si>
    <t xml:space="preserve">Amanda Fuder</t>
  </si>
  <si>
    <t xml:space="preserve">CTAE Computer Science Teacher</t>
  </si>
  <si>
    <t xml:space="preserve">amanda.fuder@cherokeek12.net</t>
  </si>
  <si>
    <t xml:space="preserve">Robert Van Alstyne</t>
  </si>
  <si>
    <t xml:space="preserve">robert.vanalstyne@cherokeek12.net</t>
  </si>
  <si>
    <t xml:space="preserve">https://shs.cherokeek12.net/about-sequoyah-high-school/administration</t>
  </si>
  <si>
    <t xml:space="preserve">Laura Kudlak</t>
  </si>
  <si>
    <t xml:space="preserve">laura.kudlak@cherokeek12.net</t>
  </si>
  <si>
    <t xml:space="preserve">Woodstock High School</t>
  </si>
  <si>
    <t xml:space="preserve">Mark Drew</t>
  </si>
  <si>
    <t xml:space="preserve">CTAE Teacher - Engineering Drafting &amp; Design (AutoCAD/Inventor)</t>
  </si>
  <si>
    <t xml:space="preserve">Engineering/Drafting (CTAE)</t>
  </si>
  <si>
    <t xml:space="preserve">mark.drew@cherokeek12.net</t>
  </si>
  <si>
    <t xml:space="preserve">https://whs.cherokeek12.net/facultystaff</t>
  </si>
  <si>
    <t xml:space="preserve">https://whs.cherokeek12.net</t>
  </si>
  <si>
    <t xml:space="preserve">Pathway instructor per CTAE page (https://whs.cherokeek12.net/departments/ctae).</t>
  </si>
  <si>
    <t xml:space="preserve">Samuel "Jay" Hunter</t>
  </si>
  <si>
    <t xml:space="preserve">samuel.hunter@cherokeek12.net</t>
  </si>
  <si>
    <t xml:space="preserve">Pathway instructor per CTAE page.</t>
  </si>
  <si>
    <t xml:space="preserve">Dr. Tim Pangonas</t>
  </si>
  <si>
    <t xml:space="preserve">CTAE Aerospace / Flight Operations &amp; Unmanned Aircraft Systems Teacher</t>
  </si>
  <si>
    <t xml:space="preserve">Aerospace / Drones (CTAE)</t>
  </si>
  <si>
    <t xml:space="preserve">tim.pangonas@cherokeek12.net</t>
  </si>
  <si>
    <t xml:space="preserve">Charley Ingham</t>
  </si>
  <si>
    <t xml:space="preserve">charley.ingham@cherokeek12.net</t>
  </si>
  <si>
    <t xml:space="preserve">Brent Harris</t>
  </si>
  <si>
    <t xml:space="preserve">CTAE Cybersecurity Teacher</t>
  </si>
  <si>
    <t xml:space="preserve">Cybersecurity (CTAE)</t>
  </si>
  <si>
    <t xml:space="preserve">brent.harris@cherokeek12.net</t>
  </si>
  <si>
    <t xml:space="preserve">i-Grad Virtual Academy</t>
  </si>
  <si>
    <t xml:space="preserve">Adam Johnson</t>
  </si>
  <si>
    <t xml:space="preserve">Principal, Active Academies</t>
  </si>
  <si>
    <t xml:space="preserve">adam.johnson@cherokeek12.net</t>
  </si>
  <si>
    <t xml:space="preserve">https://active.cherokeek12.net/administration</t>
  </si>
  <si>
    <t xml:space="preserve">https://active.cherokeek12.net/i-grad</t>
  </si>
  <si>
    <t xml:space="preserve">Leads ACE Academy (alternative, Gr 6-12) and i-Grad Virtual Academy (Gr 9-12). Shared Active Academies administrator - intentionally listed under both ACE Academy and i-Grad.</t>
  </si>
  <si>
    <t xml:space="preserve">Jenni Box</t>
  </si>
  <si>
    <t xml:space="preserve">Assistant Principal, Active Academies</t>
  </si>
  <si>
    <t xml:space="preserve">jenni.box@cherokeek12.net</t>
  </si>
  <si>
    <t xml:space="preserve">Shared Active Academies administrator - intentionally listed under both ACE Academy and i-Grad.</t>
  </si>
  <si>
    <t xml:space="preserve">ACE Academy</t>
  </si>
  <si>
    <t xml:space="preserve">https://active.cherokeek12.net/ace-academy</t>
  </si>
  <si>
    <t xml:space="preserve">Forsyth County Schools</t>
  </si>
  <si>
    <t xml:space="preserve">DeSana Middle School</t>
  </si>
  <si>
    <t xml:space="preserve">Stuart Bailey</t>
  </si>
  <si>
    <t xml:space="preserve">Engineering &amp; Technology Teacher</t>
  </si>
  <si>
    <t xml:space="preserve">f23748@forsyth.k12.ga.us</t>
  </si>
  <si>
    <t xml:space="preserve">Verified - official school staff directory</t>
  </si>
  <si>
    <t xml:space="preserve">https://desana.forsyth.k12.ga.us/our-school/staff-directory</t>
  </si>
  <si>
    <t xml:space="preserve">https://desana.forsyth.k12.ga.us</t>
  </si>
  <si>
    <t xml:space="preserve">Listed on Engineering &amp; Technology connections page. Role source: https://desana.forsyth.k12.ga.us/academics/connections/engineering-and-technology</t>
  </si>
  <si>
    <t xml:space="preserve">Ryan Mendes</t>
  </si>
  <si>
    <t xml:space="preserve">Computer Science Teacher; Esports Coach</t>
  </si>
  <si>
    <t xml:space="preserve">rymendes@forsyth.k12.ga.us</t>
  </si>
  <si>
    <t xml:space="preserve">Role source: https://desana.forsyth.k12.ga.us/academics/connections/computer-science</t>
  </si>
  <si>
    <t xml:space="preserve">Keith Sargent</t>
  </si>
  <si>
    <t xml:space="preserve">ksargent@forsyth.k12.ga.us</t>
  </si>
  <si>
    <t xml:space="preserve">Role per district School Administrators page (https://www.forsyth.k12.ga.us/inside-fcs/school-administrators).</t>
  </si>
  <si>
    <t xml:space="preserve">Michelle West</t>
  </si>
  <si>
    <t xml:space="preserve">mwest@forsyth.k12.ga.us</t>
  </si>
  <si>
    <t xml:space="preserve">Role source: https://desana.forsyth.k12.ga.us/academics/science</t>
  </si>
  <si>
    <t xml:space="preserve">Dan Grass</t>
  </si>
  <si>
    <t xml:space="preserve">Assistant Principal (7th Grade)</t>
  </si>
  <si>
    <t xml:space="preserve">dgrass@forsyth.k12.ga.us</t>
  </si>
  <si>
    <t xml:space="preserve">Hendricks Middle School</t>
  </si>
  <si>
    <t xml:space="preserve">Kenny Gibbons</t>
  </si>
  <si>
    <t xml:space="preserve">Engineering &amp; Technology Teacher; Robotics Sponsor</t>
  </si>
  <si>
    <t xml:space="preserve">Robotics / Engineering</t>
  </si>
  <si>
    <t xml:space="preserve">f43912@forsyth.k12.ga.us</t>
  </si>
  <si>
    <t xml:space="preserve">https://hms.forsyth.k12.ga.us/our-school/staff-directory</t>
  </si>
  <si>
    <t xml:space="preserve">https://hms.forsyth.k12.ga.us</t>
  </si>
  <si>
    <t xml:space="preserve">Robotics sponsor per Clubs page; engineering teacher per Engineering &amp; Technology page. Role source: https://hms.forsyth.k12.ga.us/extracurricular/clubsorganizations</t>
  </si>
  <si>
    <t xml:space="preserve">Ben Jones</t>
  </si>
  <si>
    <t xml:space="preserve">bjones@forsyth.k12.ga.us</t>
  </si>
  <si>
    <t xml:space="preserve">April Busby</t>
  </si>
  <si>
    <t xml:space="preserve">abusby@forsyth.k12.ga.us</t>
  </si>
  <si>
    <t xml:space="preserve">Katie James</t>
  </si>
  <si>
    <t xml:space="preserve">kjames@forsyth.k12.ga.us</t>
  </si>
  <si>
    <t xml:space="preserve">Lakeside Middle School</t>
  </si>
  <si>
    <t xml:space="preserve">Andrew Whitfill</t>
  </si>
  <si>
    <t xml:space="preserve">Robotics Club Sponsor</t>
  </si>
  <si>
    <t xml:space="preserve">awhitfill@forsyth.k12.ga.us</t>
  </si>
  <si>
    <t xml:space="preserve">https://lakeside.forsyth.k12.ga.us/our-school/staff-directory</t>
  </si>
  <si>
    <t xml:space="preserve">https://lakeside.forsyth.k12.ga.us</t>
  </si>
  <si>
    <t xml:space="preserve">Clubs page names "Mr. Whitfill" as sponsor; full name from staff directory. Role source: https://lakeside.forsyth.k12.ga.us/extracurricular/clubsorganizations/robotics</t>
  </si>
  <si>
    <t xml:space="preserve">Jason D'Arcangelo</t>
  </si>
  <si>
    <t xml:space="preserve">Engineering Teacher</t>
  </si>
  <si>
    <t xml:space="preserve">Engineering (Connections)</t>
  </si>
  <si>
    <t xml:space="preserve">jdarcangelo@forsyth.k12.ga.us</t>
  </si>
  <si>
    <t xml:space="preserve">Engineering class includes CAD and robotics. Role source: https://lakeside.forsyth.k12.ga.us/academics/connections/engineering</t>
  </si>
  <si>
    <t xml:space="preserve">Rebecca Hewitt</t>
  </si>
  <si>
    <t xml:space="preserve">rhewitt@forsyth.k12.ga.us</t>
  </si>
  <si>
    <t xml:space="preserve">Jennifer Chunn</t>
  </si>
  <si>
    <t xml:space="preserve">jchunn@forsyth.k12.ga.us</t>
  </si>
  <si>
    <t xml:space="preserve">Role source: https://lakeside.forsyth.k12.ga.us/academics/science</t>
  </si>
  <si>
    <t xml:space="preserve">Mitch Lesinski</t>
  </si>
  <si>
    <t xml:space="preserve">mlesinski@forsyth.k12.ga.us</t>
  </si>
  <si>
    <t xml:space="preserve">Liberty Middle School</t>
  </si>
  <si>
    <t xml:space="preserve">Thomas Brooks</t>
  </si>
  <si>
    <t xml:space="preserve">Technology &amp; Engineering Instructor; VEX IQ Robotics Coach (TechnoPatriots)</t>
  </si>
  <si>
    <t xml:space="preserve">VEX IQ Robotics / Engineering</t>
  </si>
  <si>
    <t xml:space="preserve">tbrooks48@forsyth.k12.ga.us</t>
  </si>
  <si>
    <t xml:space="preserve">https://libertyms.forsyth.k12.ga.us/our-school/staff-directory</t>
  </si>
  <si>
    <t xml:space="preserve">https://libertyms.forsyth.k12.ga.us</t>
  </si>
  <si>
    <t xml:space="preserve">Connections page shows a mistyped address "tbrooks@forsyth.k12.ga.su"; the staff-directory address is used. Role source: https://libertyms.forsyth.k12.ga.us/academics/connections</t>
  </si>
  <si>
    <t xml:space="preserve">Andy LeBlanc</t>
  </si>
  <si>
    <t xml:space="preserve">f18420@forsyth.k12.ga.us</t>
  </si>
  <si>
    <t xml:space="preserve">Listed as teacher contact for Engineering &amp; Technology on Connections page. Role source: https://libertyms.forsyth.k12.ga.us/academics/connections</t>
  </si>
  <si>
    <t xml:space="preserve">Dawn Hudson</t>
  </si>
  <si>
    <t xml:space="preserve">dhudson@forsyth.k12.ga.us</t>
  </si>
  <si>
    <t xml:space="preserve">Ali Parker</t>
  </si>
  <si>
    <t xml:space="preserve">aparker@forsyth.k12.ga.us</t>
  </si>
  <si>
    <t xml:space="preserve">Little Mill Middle School</t>
  </si>
  <si>
    <t xml:space="preserve">Kelsey Wheeler</t>
  </si>
  <si>
    <t xml:space="preserve">Computer Science Teacher; Robotics (VEX) Sponsor</t>
  </si>
  <si>
    <t xml:space="preserve">Robotics / Computer Science</t>
  </si>
  <si>
    <t xml:space="preserve">f45351@forsyth.k12.ga.us</t>
  </si>
  <si>
    <t xml:space="preserve">https://lmms.forsyth.k12.ga.us/our-school/staff-directory</t>
  </si>
  <si>
    <t xml:space="preserve">https://lmms.forsyth.k12.ga.us</t>
  </si>
  <si>
    <t xml:space="preserve">"Mrs. Wheeler" listed as LMMS Robotics sponsor; CS pathway covers robotics. Role source: https://lmms.forsyth.k12.ga.us/extracurricular/clubs-organizations</t>
  </si>
  <si>
    <t xml:space="preserve">Mitchell Frankel</t>
  </si>
  <si>
    <t xml:space="preserve">Business &amp; Computer Literacy / Computer Science Teacher</t>
  </si>
  <si>
    <t xml:space="preserve">f41376@forsyth.k12.ga.us</t>
  </si>
  <si>
    <t xml:space="preserve">Role source: https://lmms.forsyth.k12.ga.us/academics/connections</t>
  </si>
  <si>
    <t xml:space="preserve">Molly Lavin</t>
  </si>
  <si>
    <t xml:space="preserve">f32322@forsyth.k12.ga.us</t>
  </si>
  <si>
    <t xml:space="preserve">Maria Alvarado</t>
  </si>
  <si>
    <t xml:space="preserve">f44770@forsyth.k12.ga.us</t>
  </si>
  <si>
    <t xml:space="preserve">Role source: https://lmms.forsyth.k12.ga.us/academics/science</t>
  </si>
  <si>
    <t xml:space="preserve">Kristen Hall</t>
  </si>
  <si>
    <t xml:space="preserve">f47276@forsyth.k12.ga.us</t>
  </si>
  <si>
    <t xml:space="preserve">North Forsyth Middle School</t>
  </si>
  <si>
    <t xml:space="preserve">Kevin Sapp</t>
  </si>
  <si>
    <t xml:space="preserve">Engineering Teacher; VEX Robotics Sponsor</t>
  </si>
  <si>
    <t xml:space="preserve">VEX Robotics / Engineering</t>
  </si>
  <si>
    <t xml:space="preserve">ksapp77@forsyth.k12.ga.us</t>
  </si>
  <si>
    <t xml:space="preserve">Verified - official school staff directory (alternate address on role page)</t>
  </si>
  <si>
    <t xml:space="preserve">https://nfms.forsyth.k12.ga.us/our-school/staff-directory</t>
  </si>
  <si>
    <t xml:space="preserve">https://nfms.forsyth.k12.ga.us</t>
  </si>
  <si>
    <t xml:space="preserve">Robotics sponsor per Clubs page; Engineering per Connections page. Role source: https://nfms.forsyth.k12.ga.us/extracurricular/clubsorganizations Note: the role page publishes a different address (f33977@forsyth.k12.ga.us) for this person; staff-directory address shown. Confirm which is current before sending.</t>
  </si>
  <si>
    <t xml:space="preserve">Matt Woodley</t>
  </si>
  <si>
    <t xml:space="preserve">mwoodley@forsyth.k12.ga.us</t>
  </si>
  <si>
    <t xml:space="preserve">Erica Gaines</t>
  </si>
  <si>
    <t xml:space="preserve">egaines@forsyth.k12.ga.us</t>
  </si>
  <si>
    <t xml:space="preserve">Role source: https://nfms.forsyth.k12.ga.us/academics/science</t>
  </si>
  <si>
    <t xml:space="preserve">Mary Garner</t>
  </si>
  <si>
    <t xml:space="preserve">mgarner@forsyth.k12.ga.us</t>
  </si>
  <si>
    <t xml:space="preserve">Otwell Middle School</t>
  </si>
  <si>
    <t xml:space="preserve">Tony Collins</t>
  </si>
  <si>
    <t xml:space="preserve">Engineering &amp; Technology Teacher; Competition Robotics Team</t>
  </si>
  <si>
    <t xml:space="preserve">Competition Robotics / Engineering</t>
  </si>
  <si>
    <t xml:space="preserve">tcollins@forsyth.k12.ga.us</t>
  </si>
  <si>
    <t xml:space="preserve">https://oms.forsyth.k12.ga.us/our-school/staff-directory</t>
  </si>
  <si>
    <t xml:space="preserve">https://oms.forsyth.k12.ga.us</t>
  </si>
  <si>
    <t xml:space="preserve">Connections page lists "Mr. Collins - Engineering and Technology"; robotics team meets in the OMS Engineering Lab. Full name from staff directory. Role source: https://oms.forsyth.k12.ga.us/academics/connections Note: the role page publishes a different address (f46615@forsyth.k12.ga.us) for this person; staff-directory address shown. Confirm which is current before sending.</t>
  </si>
  <si>
    <t xml:space="preserve">Desiree Clark</t>
  </si>
  <si>
    <t xml:space="preserve">Robotics Program Coordinator</t>
  </si>
  <si>
    <t xml:space="preserve">Competition Robotics Team</t>
  </si>
  <si>
    <t xml:space="preserve">declark@forsyth.k12.ga.us</t>
  </si>
  <si>
    <t xml:space="preserve">Listed as "Coordinator" on the robotics club entry. Role source: https://oms.forsyth.k12.ga.us/extracurricular/clubsorganizations</t>
  </si>
  <si>
    <t xml:space="preserve">Precilla Saint-Jean</t>
  </si>
  <si>
    <t xml:space="preserve">psaintjean@forsyth.k12.ga.us</t>
  </si>
  <si>
    <t xml:space="preserve">William Howell</t>
  </si>
  <si>
    <t xml:space="preserve">whowell5@forsyth.k12.ga.us</t>
  </si>
  <si>
    <t xml:space="preserve">Piney Grove Middle School</t>
  </si>
  <si>
    <t xml:space="preserve">Cindy Smith</t>
  </si>
  <si>
    <t xml:space="preserve">Robotics Club (Grizzly Gears) Sponsor</t>
  </si>
  <si>
    <t xml:space="preserve">csmith@forsyth.k12.ga.us</t>
  </si>
  <si>
    <t xml:space="preserve">https://pineygrove.forsyth.k12.ga.us/our-school/staff-directory</t>
  </si>
  <si>
    <t xml:space="preserve">https://pineygrove.forsyth.k12.ga.us</t>
  </si>
  <si>
    <t xml:space="preserve">Role source: https://pineygrove.forsyth.k12.ga.us/extracurricular/clubs-organizations</t>
  </si>
  <si>
    <t xml:space="preserve">Jacqueline Harden</t>
  </si>
  <si>
    <t xml:space="preserve">jharden64@forsyth.k12.ga.us</t>
  </si>
  <si>
    <t xml:space="preserve">Engineering class includes robotics and 3D modeling. Role source: https://pineygrove.forsyth.k12.ga.us/academics/connections</t>
  </si>
  <si>
    <t xml:space="preserve">Ryan Henson</t>
  </si>
  <si>
    <t xml:space="preserve">rhenson@forsyth.k12.ga.us</t>
  </si>
  <si>
    <t xml:space="preserve">Role source: https://pineygrove.forsyth.k12.ga.us/academics/connections</t>
  </si>
  <si>
    <t xml:space="preserve">Lori Waddell</t>
  </si>
  <si>
    <t xml:space="preserve">lwaddell@forsyth.k12.ga.us</t>
  </si>
  <si>
    <t xml:space="preserve">Chad Brady</t>
  </si>
  <si>
    <t xml:space="preserve">Science Department Chairperson</t>
  </si>
  <si>
    <t xml:space="preserve">cbrady@forsyth.k12.ga.us</t>
  </si>
  <si>
    <t xml:space="preserve">Role source: https://pineygrove.forsyth.k12.ga.us/academics/science</t>
  </si>
  <si>
    <t xml:space="preserve">Riverwatch Middle School</t>
  </si>
  <si>
    <t xml:space="preserve">Josh Grasso</t>
  </si>
  <si>
    <t xml:space="preserve">VEX IQ Robotics Club Sponsor</t>
  </si>
  <si>
    <t xml:space="preserve">jgrasso@forsyth.k12.ga.us</t>
  </si>
  <si>
    <t xml:space="preserve">https://riverwatchms.forsyth.k12.ga.us/our-school/administration/staff-directory</t>
  </si>
  <si>
    <t xml:space="preserve">https://riverwatchms.forsyth.k12.ga.us</t>
  </si>
  <si>
    <t xml:space="preserve">Clubs page names "Mr. Grasso"; full name from staff directory. Role source: https://riverwatchms.forsyth.k12.ga.us/extracurricular/clubsorganizations-2024-2025</t>
  </si>
  <si>
    <t xml:space="preserve">Suzy Ruckert</t>
  </si>
  <si>
    <t xml:space="preserve">CTAE Department Chair</t>
  </si>
  <si>
    <t xml:space="preserve">sruckert@forsyth.k12.ga.us</t>
  </si>
  <si>
    <t xml:space="preserve">Role source: https://riverwatchms.forsyth.k12.ga.us/our-school/administration/leadership-team/department-chairs</t>
  </si>
  <si>
    <t xml:space="preserve">Terri Farley</t>
  </si>
  <si>
    <t xml:space="preserve">Business &amp; Computer Science Teacher</t>
  </si>
  <si>
    <t xml:space="preserve">tfarley@forsyth.k12.ga.us</t>
  </si>
  <si>
    <t xml:space="preserve">Role source: https://riverwatchms.forsyth.k12.ga.us/academics/connections/ctae</t>
  </si>
  <si>
    <t xml:space="preserve">Kimberly White</t>
  </si>
  <si>
    <t xml:space="preserve">kiwhite@forsyth.k12.ga.us</t>
  </si>
  <si>
    <t xml:space="preserve">Ann Hicks</t>
  </si>
  <si>
    <t xml:space="preserve">TSA Co-Sponsor</t>
  </si>
  <si>
    <t xml:space="preserve">Technology Student Association</t>
  </si>
  <si>
    <t xml:space="preserve">ahicks@forsyth.k12.ga.us</t>
  </si>
  <si>
    <t xml:space="preserve">Riverwatch named 1st-place outstanding TSA chapter in Georgia (2025-26). Role source: https://riverwatchms.forsyth.k12.ga.us/extracurricular/clubsorganizations-2024-2025</t>
  </si>
  <si>
    <t xml:space="preserve">South Forsyth Middle School</t>
  </si>
  <si>
    <t xml:space="preserve">Charles Woods</t>
  </si>
  <si>
    <t xml:space="preserve">Engineering (CTAE)</t>
  </si>
  <si>
    <t xml:space="preserve">cwoods@forsyth.k12.ga.us</t>
  </si>
  <si>
    <t xml:space="preserve">https://sfms.forsyth.k12.ga.us/our-school/staff/staff-directory</t>
  </si>
  <si>
    <t xml:space="preserve">https://sfms.forsyth.k12.ga.us</t>
  </si>
  <si>
    <t xml:space="preserve">Role source: https://sfms.forsyth.k12.ga.us/academics/connections/ctae/engineering-and-technology</t>
  </si>
  <si>
    <t xml:space="preserve">Liz Tuck</t>
  </si>
  <si>
    <t xml:space="preserve">ltuck@forsyth.k12.ga.us</t>
  </si>
  <si>
    <t xml:space="preserve">Max Marshall</t>
  </si>
  <si>
    <t xml:space="preserve">Connections Department Chair</t>
  </si>
  <si>
    <t xml:space="preserve">Connections</t>
  </si>
  <si>
    <t xml:space="preserve">mmarshall@forsyth.k12.ga.us</t>
  </si>
  <si>
    <t xml:space="preserve">Role source: https://sfms.forsyth.k12.ga.us/our-school/leadership/school-leadership-team</t>
  </si>
  <si>
    <t xml:space="preserve">Cody Godfree</t>
  </si>
  <si>
    <t xml:space="preserve">cgodfree@forsyth.k12.ga.us</t>
  </si>
  <si>
    <t xml:space="preserve">Role source: https://sfms.forsyth.k12.ga.us/our-school/leadership/school-leadership-team Note: the role page publishes a different address (f38345@forsyth.k12.ga.us) for this person; staff-directory address shown. Confirm which is current before sending.</t>
  </si>
  <si>
    <t xml:space="preserve">Dana Reid</t>
  </si>
  <si>
    <t xml:space="preserve">dreid@forsyth.k12.ga.us</t>
  </si>
  <si>
    <t xml:space="preserve">Vickery Creek Middle School</t>
  </si>
  <si>
    <t xml:space="preserve">Ashley Andrews</t>
  </si>
  <si>
    <t xml:space="preserve">Engineering Teacher; VEX IQ Robotics Sponsor</t>
  </si>
  <si>
    <t xml:space="preserve">aandrews3@forsyth.k12.ga.us</t>
  </si>
  <si>
    <t xml:space="preserve">https://vcms.forsyth.k12.ga.us/our-school/staff-directory</t>
  </si>
  <si>
    <t xml:space="preserve">https://vcms.forsyth.k12.ga.us</t>
  </si>
  <si>
    <t xml:space="preserve">Role source: https://vcms.forsyth.k12.ga.us/extracurricular/clubsorganizations</t>
  </si>
  <si>
    <t xml:space="preserve">TJ Miniscalco</t>
  </si>
  <si>
    <t xml:space="preserve">tminiscalco@forsyth.k12.ga.us</t>
  </si>
  <si>
    <t xml:space="preserve">https://vcms.forsyth.k12.ga.us/our-school/administration/administrators</t>
  </si>
  <si>
    <t xml:space="preserve">Patrick Doyle</t>
  </si>
  <si>
    <t xml:space="preserve">Connections Chair</t>
  </si>
  <si>
    <t xml:space="preserve">pdoyle@forsyth.k12.ga.us</t>
  </si>
  <si>
    <t xml:space="preserve">Role source: https://vcms.forsyth.k12.ga.us/our-school/administration/school-leadership-team</t>
  </si>
  <si>
    <t xml:space="preserve">Kelly Edwards</t>
  </si>
  <si>
    <t xml:space="preserve">kedwards@forsyth.k12.ga.us</t>
  </si>
  <si>
    <t xml:space="preserve">Courtney Mallory</t>
  </si>
  <si>
    <t xml:space="preserve">cmallory@forsyth.k12.ga.us</t>
  </si>
  <si>
    <t xml:space="preserve">Alliance Academy for Innovation</t>
  </si>
  <si>
    <t xml:space="preserve">Darren Rager</t>
  </si>
  <si>
    <t xml:space="preserve">FIRST Robotics Advisor (AvengerRobotics FRC 7451)</t>
  </si>
  <si>
    <t xml:space="preserve">FIRST Robotics / Mechatronics &amp; Robotics</t>
  </si>
  <si>
    <t xml:space="preserve">f41518@forsyth.k12.ga.us</t>
  </si>
  <si>
    <t xml:space="preserve">https://alliance.forsyth.k12.ga.us/our-school/staff-directory</t>
  </si>
  <si>
    <t xml:space="preserve">https://alliance.forsyth.k12.ga.us</t>
  </si>
  <si>
    <t xml:space="preserve">FIRST CTSO advisor per National Technical Honor Society page. Team also publishes a Gmail address (not used). Role source: https://alliance.forsyth.k12.ga.us/extracurricular/honor-societies/national-technical-honor-society</t>
  </si>
  <si>
    <t xml:space="preserve">Bryan Fagan</t>
  </si>
  <si>
    <t xml:space="preserve">TSA Advisor</t>
  </si>
  <si>
    <t xml:space="preserve">f39844@forsyth.k12.ga.us</t>
  </si>
  <si>
    <t xml:space="preserve">Role source: https://alliance.forsyth.k12.ga.us/extracurricular/technology-student-association</t>
  </si>
  <si>
    <t xml:space="preserve">Karl Mercer</t>
  </si>
  <si>
    <t xml:space="preserve">kmercer@forsyth.k12.ga.us</t>
  </si>
  <si>
    <t xml:space="preserve">Jonathan Lillie</t>
  </si>
  <si>
    <t xml:space="preserve">CyberAvengers Sponsor; FBLA Advisor</t>
  </si>
  <si>
    <t xml:space="preserve">Cybersecurity</t>
  </si>
  <si>
    <t xml:space="preserve">jlillie@forsyth.k12.ga.us</t>
  </si>
  <si>
    <t xml:space="preserve">Role source: https://alliance.forsyth.k12.ga.us/extracurricular/clubs</t>
  </si>
  <si>
    <t xml:space="preserve">Tony Jones</t>
  </si>
  <si>
    <t xml:space="preserve">tojones@forsyth.k12.ga.us</t>
  </si>
  <si>
    <t xml:space="preserve">Denmark High School</t>
  </si>
  <si>
    <t xml:space="preserve">Eric Arnold</t>
  </si>
  <si>
    <t xml:space="preserve">earnold78@forsyth.k12.ga.us</t>
  </si>
  <si>
    <t xml:space="preserve">https://dhs.forsyth.k12.ga.us/our-school/staff-directory</t>
  </si>
  <si>
    <t xml:space="preserve">https://dhs.forsyth.k12.ga.us</t>
  </si>
  <si>
    <t xml:space="preserve">Role source: https://dhs.forsyth.k12.ga.us/our-school/administration/leadership-team Note: the role page publishes a different address (earnold@forsyth.k12.ga.us) for this person; staff-directory address shown. Confirm which is current before sending.</t>
  </si>
  <si>
    <t xml:space="preserve">Patrice Mathauer</t>
  </si>
  <si>
    <t xml:space="preserve">pmathauer@forsyth.k12.ga.us</t>
  </si>
  <si>
    <t xml:space="preserve">Role source: https://dhs.forsyth.k12.ga.us/our-school/administration/leadership-team</t>
  </si>
  <si>
    <t xml:space="preserve">Kim Oliver</t>
  </si>
  <si>
    <t xml:space="preserve">koliver@forsyth.k12.ga.us</t>
  </si>
  <si>
    <t xml:space="preserve">Shelby Cochran</t>
  </si>
  <si>
    <t xml:space="preserve">scochran@forsyth.k12.ga.us</t>
  </si>
  <si>
    <t xml:space="preserve">Patrick Coffield</t>
  </si>
  <si>
    <t xml:space="preserve">pcoffield@forsyth.k12.ga.us</t>
  </si>
  <si>
    <t xml:space="preserve">East Forsyth High School</t>
  </si>
  <si>
    <t xml:space="preserve">Curtis Mathis</t>
  </si>
  <si>
    <t xml:space="preserve">Engineering &amp; Technology Teacher; Robotics Club Sponsor</t>
  </si>
  <si>
    <t xml:space="preserve">Robotics / Engineering (CTAE)</t>
  </si>
  <si>
    <t xml:space="preserve">cmathis@forsyth.k12.ga.us</t>
  </si>
  <si>
    <t xml:space="preserve">https://efhs.forsyth.k12.ga.us/our-school/staff-directory</t>
  </si>
  <si>
    <t xml:space="preserve">https://efhs.forsyth.k12.ga.us</t>
  </si>
  <si>
    <t xml:space="preserve">Role source: https://efhs.forsyth.k12.ga.us/extracurricular/clubs</t>
  </si>
  <si>
    <t xml:space="preserve">Misty LeBeau</t>
  </si>
  <si>
    <t xml:space="preserve">CTAE Department Chair (TAP/Entrepreneurship)</t>
  </si>
  <si>
    <t xml:space="preserve">mlebeau77@forsyth.k12.ga.us</t>
  </si>
  <si>
    <t xml:space="preserve">Role source: https://efhs.forsyth.k12.ga.us/academics/career-tech-pathways</t>
  </si>
  <si>
    <t xml:space="preserve">Kacey Martin</t>
  </si>
  <si>
    <t xml:space="preserve">kmartin@forsyth.k12.ga.us</t>
  </si>
  <si>
    <t xml:space="preserve">Jenn Davies</t>
  </si>
  <si>
    <t xml:space="preserve">jdavies@forsyth.k12.ga.us</t>
  </si>
  <si>
    <t xml:space="preserve">Forsyth Central High School</t>
  </si>
  <si>
    <t xml:space="preserve">Daphne John</t>
  </si>
  <si>
    <t xml:space="preserve">Computer Science Teacher; TSA Advisor (STEM Academy)</t>
  </si>
  <si>
    <t xml:space="preserve">Computer Science / TSA</t>
  </si>
  <si>
    <t xml:space="preserve">dajohn@forsyth.k12.ga.us</t>
  </si>
  <si>
    <t xml:space="preserve">https://fchs.forsyth.k12.ga.us/our-school/staff-directory</t>
  </si>
  <si>
    <t xml:space="preserve">https://fchs.forsyth.k12.ga.us</t>
  </si>
  <si>
    <t xml:space="preserve">Role source: https://fchs.forsyth.k12.ga.us/academics/academies/stem-academy</t>
  </si>
  <si>
    <t xml:space="preserve">Marla Hatfield</t>
  </si>
  <si>
    <t xml:space="preserve">STEM Academy Contact</t>
  </si>
  <si>
    <t xml:space="preserve">STEM Academy</t>
  </si>
  <si>
    <t xml:space="preserve">mhatfield@forsyth.k12.ga.us</t>
  </si>
  <si>
    <t xml:space="preserve">Buddhika Jayasena</t>
  </si>
  <si>
    <t xml:space="preserve">FRC (FIRST Robotics) Sponsor</t>
  </si>
  <si>
    <t xml:space="preserve">FIRST Robotics</t>
  </si>
  <si>
    <t xml:space="preserve">f46863@forsyth.k12.ga.us</t>
  </si>
  <si>
    <t xml:space="preserve">Clubs page lists surname only; full name from staff directory. Role source: https://fchs.forsyth.k12.ga.us/extracurricular/clubsorganizations</t>
  </si>
  <si>
    <t xml:space="preserve">Tracey Winkler</t>
  </si>
  <si>
    <t xml:space="preserve">twinkler@forsyth.k12.ga.us</t>
  </si>
  <si>
    <t xml:space="preserve">Allyson Carvell</t>
  </si>
  <si>
    <t xml:space="preserve">apcarvell@forsyth.k12.ga.us</t>
  </si>
  <si>
    <t xml:space="preserve">Lambert High School</t>
  </si>
  <si>
    <t xml:space="preserve">Laura Bender</t>
  </si>
  <si>
    <t xml:space="preserve">FIRST Robotics &amp; Computer Science Club Sponsor</t>
  </si>
  <si>
    <t xml:space="preserve">FIRST Robotics / Computer Science</t>
  </si>
  <si>
    <t xml:space="preserve">f41395@forsyth.k12.ga.us</t>
  </si>
  <si>
    <t xml:space="preserve">https://lhs.forsyth.k12.ga.us/our-school/staff-directory</t>
  </si>
  <si>
    <t xml:space="preserve">https://lhs.forsyth.k12.ga.us</t>
  </si>
  <si>
    <t xml:space="preserve">Role source: https://lhs.forsyth.k12.ga.us/extracurricular/clubs-activities</t>
  </si>
  <si>
    <t xml:space="preserve">Glen Smith</t>
  </si>
  <si>
    <t xml:space="preserve">FIRST Robotics Co-Sponsor</t>
  </si>
  <si>
    <t xml:space="preserve">f47253@forsyth.k12.ga.us</t>
  </si>
  <si>
    <t xml:space="preserve">Josh Sullivan</t>
  </si>
  <si>
    <t xml:space="preserve">Engineering Teacher; TSA Sponsor</t>
  </si>
  <si>
    <t xml:space="preserve">jmsullivan@forsyth.k12.ga.us</t>
  </si>
  <si>
    <t xml:space="preserve">Role source: https://lhs.forsyth.k12.ga.us/academics/ctaecareer-pathways/engineering Note: the role page publishes a different address (f40160@forsyth.k12.ga.us) for this person; staff-directory address shown. Confirm which is current before sending.</t>
  </si>
  <si>
    <t xml:space="preserve">Amanda Thrower</t>
  </si>
  <si>
    <t xml:space="preserve">athrower@forsyth.k12.ga.us</t>
  </si>
  <si>
    <t xml:space="preserve">Becca Howell</t>
  </si>
  <si>
    <t xml:space="preserve">Science Olympiad Co-Sponsor</t>
  </si>
  <si>
    <t xml:space="preserve">Science Olympiad</t>
  </si>
  <si>
    <t xml:space="preserve">rhowell@forsyth.k12.ga.us</t>
  </si>
  <si>
    <t xml:space="preserve">North Forsyth High School</t>
  </si>
  <si>
    <t xml:space="preserve">Matt Smith</t>
  </si>
  <si>
    <t xml:space="preserve">mrsmith@forsyth.k12.ga.us</t>
  </si>
  <si>
    <t xml:space="preserve">https://nfhs.forsyth.k12.ga.us/our-school/staff-directory</t>
  </si>
  <si>
    <t xml:space="preserve">https://nfhs.forsyth.k12.ga.us</t>
  </si>
  <si>
    <t xml:space="preserve">Role source: https://nfhs.forsyth.k12.ga.us/academics/ctaecareer-pathways/engineering-technology</t>
  </si>
  <si>
    <t xml:space="preserve">Jessie Tomes</t>
  </si>
  <si>
    <t xml:space="preserve">Computer Science &amp; IT Teacher</t>
  </si>
  <si>
    <t xml:space="preserve">jtomes@forsyth.k12.ga.us</t>
  </si>
  <si>
    <t xml:space="preserve">Role source: https://nfhs.forsyth.k12.ga.us/academics/ctaecareer-pathways/computer-science-information-technology Note: the role page publishes a different address (f29513@forsyth.k12.ga.us) for this person; staff-directory address shown. Confirm which is current before sending.</t>
  </si>
  <si>
    <t xml:space="preserve">Jen Crummel</t>
  </si>
  <si>
    <t xml:space="preserve">jcrummel@forsyth.k12.ga.us</t>
  </si>
  <si>
    <t xml:space="preserve">Role source: https://nfhs.forsyth.k12.ga.us/academics/ctaecareer-pathways/computer-science-information-technology Note: the role page publishes a different address (f32239@forsyth.k12.ga.us) for this person; staff-directory address shown. Confirm which is current before sending.</t>
  </si>
  <si>
    <t xml:space="preserve">Carrie MacAllaster</t>
  </si>
  <si>
    <t xml:space="preserve">cmacallaster@forsyth.k12.ga.us</t>
  </si>
  <si>
    <t xml:space="preserve">Angela Hurt</t>
  </si>
  <si>
    <t xml:space="preserve">ahurt@forsyth.k12.ga.us</t>
  </si>
  <si>
    <t xml:space="preserve">South Forsyth High School</t>
  </si>
  <si>
    <t xml:space="preserve">Travis Hodges</t>
  </si>
  <si>
    <t xml:space="preserve">VEX Robotics Sponsor</t>
  </si>
  <si>
    <t xml:space="preserve">VEX Robotics</t>
  </si>
  <si>
    <t xml:space="preserve">f30935@forsyth.k12.ga.us</t>
  </si>
  <si>
    <t xml:space="preserve">https://sfhs.forsyth.k12.ga.us/our-school/staff-directory</t>
  </si>
  <si>
    <t xml:space="preserve">https://sfhs.forsyth.k12.ga.us</t>
  </si>
  <si>
    <t xml:space="preserve">Sponsor listed immediately before the VEX Robotics description on Technology &amp; Robotics Clubs page. Role source: https://sfhs.forsyth.k12.ga.us/extracurricular/clubsorganizations/technology-and-robotics-clubs</t>
  </si>
  <si>
    <t xml:space="preserve">Lidan Zhou</t>
  </si>
  <si>
    <t xml:space="preserve">CyberPatriot, AI, ACSL &amp; Coding Clubs Sponsor</t>
  </si>
  <si>
    <t xml:space="preserve">Computer Science Clubs</t>
  </si>
  <si>
    <t xml:space="preserve">f38293@forsyth.k12.ga.us</t>
  </si>
  <si>
    <t xml:space="preserve">Role source: https://sfhs.forsyth.k12.ga.us/extracurricular/clubsorganizations/technology-and-robotics-clubs</t>
  </si>
  <si>
    <t xml:space="preserve">Pam Bibik</t>
  </si>
  <si>
    <t xml:space="preserve">pbibik@forsyth.k12.ga.us</t>
  </si>
  <si>
    <t xml:space="preserve">Katie Urbanovitch</t>
  </si>
  <si>
    <t xml:space="preserve">kurbanovitch@forsyth.k12.ga.us</t>
  </si>
  <si>
    <t xml:space="preserve">Role source: https://sfhs.forsyth.k12.ga.us/extracurricular/clubsorganizations/ctso-and-businessleadership-organizations</t>
  </si>
  <si>
    <t xml:space="preserve">Kristy Heath</t>
  </si>
  <si>
    <t xml:space="preserve">f39354@forsyth.k12.ga.us</t>
  </si>
  <si>
    <t xml:space="preserve">West Forsyth High School</t>
  </si>
  <si>
    <t xml:space="preserve">James Neuhaus</t>
  </si>
  <si>
    <t xml:space="preserve">Engineering Instructor; TSA &amp; Robotics (VEX) Advisor</t>
  </si>
  <si>
    <t xml:space="preserve">Robotics / TSA / Engineering</t>
  </si>
  <si>
    <t xml:space="preserve">jneuhaus@forsyth.k12.ga.us</t>
  </si>
  <si>
    <t xml:space="preserve">https://wfhs.forsyth.k12.ga.us/our-school/staff-directory</t>
  </si>
  <si>
    <t xml:space="preserve">https://wfhs.forsyth.k12.ga.us</t>
  </si>
  <si>
    <t xml:space="preserve">Role source: https://wfhs.forsyth.k12.ga.us/academics/ctaecareer-pathways/technology-student-association-robotics</t>
  </si>
  <si>
    <t xml:space="preserve">Bill Fink</t>
  </si>
  <si>
    <t xml:space="preserve">CTAE Chair</t>
  </si>
  <si>
    <t xml:space="preserve">bfink@forsyth.k12.ga.us</t>
  </si>
  <si>
    <t xml:space="preserve">Role source: https://wfhs.forsyth.k12.ga.us/our-school/administration/leadership-team</t>
  </si>
  <si>
    <t xml:space="preserve">Aaron Archambeau</t>
  </si>
  <si>
    <t xml:space="preserve">aarchambeau@forsyth.k12.ga.us</t>
  </si>
  <si>
    <t xml:space="preserve">Michael Parker</t>
  </si>
  <si>
    <t xml:space="preserve">mrparker@forsyth.k12.ga.us</t>
  </si>
  <si>
    <t xml:space="preserve">Academies of Creative Education (Gateway Academy / Forsyth Academy / Forsyth Virtual Academy)</t>
  </si>
  <si>
    <t xml:space="preserve">Drew Hayes</t>
  </si>
  <si>
    <t xml:space="preserve">dhayes@forsyth.k12.ga.us</t>
  </si>
  <si>
    <t xml:space="preserve">https://ace.forsyth.k12.ga.us/gateway-academy/staff-directory</t>
  </si>
  <si>
    <t xml:space="preserve">https://ace.forsyth.k12.ga.us</t>
  </si>
  <si>
    <t xml:space="preserve">Principal of the ACE campus (Gateway, Forsyth Academy, Forsyth Virtual Academy). Role per district School Administrators page (https://www.forsyth.k12.ga.us/inside-fcs/school-administrators).</t>
  </si>
  <si>
    <t xml:space="preserve">Amber Steele</t>
  </si>
  <si>
    <t xml:space="preserve">asteele@forsyth.k12.ga.us</t>
  </si>
  <si>
    <t xml:space="preserve">Gail Freund</t>
  </si>
  <si>
    <t xml:space="preserve">gfreund@forsyth.k12.ga.us</t>
  </si>
  <si>
    <t xml:space="preserve">https://ace.forsyth.k12.ga.us/forsyth-academy/staff-directory</t>
  </si>
  <si>
    <t xml:space="preserve">School Type</t>
  </si>
  <si>
    <t xml:space="preserve">Grades Served</t>
  </si>
  <si>
    <t xml:space="preserve">Official School Website</t>
  </si>
  <si>
    <t xml:space="preserve">Official Directory Source</t>
  </si>
  <si>
    <t xml:space="preserve">Number of Verified Contacts Found</t>
  </si>
  <si>
    <t xml:space="preserve">Research Status</t>
  </si>
  <si>
    <t xml:space="preserve">6-8</t>
  </si>
  <si>
    <t xml:space="preserve">https://www.clayton.k12.ga.us/about/district-schools</t>
  </si>
  <si>
    <t xml:space="preserve">Technology &amp; Robotics Club page names "Mr. Stinson", who is now assigned to Forest Park MS per directory profile; no current Adamson robotics sponsor identified.</t>
  </si>
  <si>
    <t xml:space="preserve">About page mis-links some staff emails (e.g., principal link points to another person); directory profile addresses used instead.</t>
  </si>
  <si>
    <t xml:space="preserve">Drone &amp; Robotics team (Points of Pride 3/2026).</t>
  </si>
  <si>
    <t xml:space="preserve">Fine arts magnet. Staff directory is a plain table (no titles beyond subject).</t>
  </si>
  <si>
    <t xml:space="preserve">S.T.E.A.M. school with a designated STEM Lead.</t>
  </si>
  <si>
    <t xml:space="preserve">Magnet program (grant-funded Magnet Specialist).</t>
  </si>
  <si>
    <t xml:space="preserve">STEM magnet middle school.</t>
  </si>
  <si>
    <t xml:space="preserve">https://www.clayton.k12.ga.us/departments/charter-school-petition-guidelines/ccps-charter-schools ; GOSA Enrollment by Grade 2024-25: https://download.gosa.ga.gov/2025/Enrollment_by_Grade_2024-25_2026-02-19_00_31_56.csv</t>
  </si>
  <si>
    <t xml:space="preserve">Charter school (Clayton campus) listed on CCPS charter page; reported under Clayton County in GOSA data.</t>
  </si>
  <si>
    <t xml:space="preserve">9-12</t>
  </si>
  <si>
    <t xml:space="preserve">Has Robotics Club and TSA chapter.</t>
  </si>
  <si>
    <t xml:space="preserve">Department pages conflict on Andrew Cox role/email (see contact note).</t>
  </si>
  <si>
    <t xml:space="preserve">No engineering, computer science or robotics staff identifiable in directory titles or pages; CTI teacher used.</t>
  </si>
  <si>
    <t xml:space="preserve">Performing arts high school (GOSA: grades 9-12). No STEM/CTAE-titled staff in directory.</t>
  </si>
  <si>
    <t xml:space="preserve">STEM Program page exists but names no staff; no engineering/CS-titled staff in directory.</t>
  </si>
  <si>
    <t xml:space="preserve">CTAE page names Gwendolyn Jones as CTAE Department Chair, but no email or directory entry found for her.</t>
  </si>
  <si>
    <t xml:space="preserve">https://www.clayton.k12.ga.us/about/district-schools ; GOSA Enrollment by Grade 2024-25: https://download.gosa.ga.gov/2025/Enrollment_by_Grade_2024-25_2026-02-19_00_31_56.csv</t>
  </si>
  <si>
    <t xml:space="preserve">Alternative/career high school (Eula Wilburn Ponds Perry Center for Learning).</t>
  </si>
  <si>
    <t xml:space="preserve">https://www.clayton.k12.ga.us/departments/charter-school-petition-guidelines/ccps-charter-schools ; https://scsc.georgia.gov/document/document/2025-2026-master-charter-school-list/download</t>
  </si>
  <si>
    <t xml:space="preserve">Clayton-authorized charter. Principal email not published.</t>
  </si>
  <si>
    <t xml:space="preserve">6-12</t>
  </si>
  <si>
    <t xml:space="preserve">6-12 (state 2025-26 list shows 6-10 for opening year)</t>
  </si>
  <si>
    <t xml:space="preserve">New Clayton-authorized charter opened Fall 2026 (not yet in GOSA data). Faculty directory publishes names only, no emails.</t>
  </si>
  <si>
    <t xml:space="preserve">Alternative Virtual Academy</t>
  </si>
  <si>
    <t xml:space="preserve">Middle &amp; high (alternative/virtual program)</t>
  </si>
  <si>
    <t xml:space="preserve">https://6008.clayton.k12.ga.us</t>
  </si>
  <si>
    <t xml:space="preserve">Program listed by district; not reported as a separate school by GOSA. Site publishes only counselor/generic emails and no named leadership.</t>
  </si>
  <si>
    <t xml:space="preserve">Multi-grade (GNETS therapeutic program)</t>
  </si>
  <si>
    <t xml:space="preserve">Georgia Network for Educational &amp; Therapeutic Support program for students with IEPs; not a standard school. Low fit; director only.</t>
  </si>
  <si>
    <t xml:space="preserve">https://www.cherokeek12.net/schools ; GOSA Enrollment by Grade 2024-25: https://download.gosa.ga.gov/2025/Enrollment_by_Grade_2024-25_2026-02-19_00_31_56.csv</t>
  </si>
  <si>
    <t xml:space="preserve">Faculty/Staff page renders empty (checked with a headless browser); only the administration team could be verified.</t>
  </si>
  <si>
    <t xml:space="preserve">Has a Robotics Connections teacher.</t>
  </si>
  <si>
    <t xml:space="preserve">School Council page still lists a former principal.</t>
  </si>
  <si>
    <t xml:space="preserve">Faculty directory labels elective teachers only as "Connections", so STEM/CS teachers could not be identified. ("TSA" here = Teacher Support Administrator.)</t>
  </si>
  <si>
    <t xml:space="preserve">No faculty email directory published; principal and assistant principals (by department oversight) only. AP CS teacher named without email.</t>
  </si>
  <si>
    <t xml:space="preserve">Faculty list labels CTAE staff only as "Career Tech Teacher"; specific engineering/CS instructors not identifiable.</t>
  </si>
  <si>
    <t xml:space="preserve">CTAE pathway instructors not published by pathway; drafting teacher used.</t>
  </si>
  <si>
    <t xml:space="preserve">VEX Robotics club and Cyber Knights.</t>
  </si>
  <si>
    <t xml:space="preserve">FIRST Robotics team.</t>
  </si>
  <si>
    <t xml:space="preserve">Aerospace/UAS (drone), engineering drafting, CS and cybersecurity pathways.</t>
  </si>
  <si>
    <t xml:space="preserve">Part of Active Academies; shares administration with ACE Academy.</t>
  </si>
  <si>
    <t xml:space="preserve">Middle &amp; high (alternative)</t>
  </si>
  <si>
    <t xml:space="preserve">https://www.cherokeek12.net/schools</t>
  </si>
  <si>
    <t xml:space="preserve">Alternative program within Active Academies (not reported separately by GOSA); shares administration with i-Grad.</t>
  </si>
  <si>
    <t xml:space="preserve">https://www.forsyth.k12.ga.us/inside-fcs/school-administrators ; GOSA Enrollment by Grade 2024-25: https://download.gosa.ga.gov/2025/Enrollment_by_Grade_2024-25_2026-02-19_00_31_56.csv</t>
  </si>
  <si>
    <t xml:space="preserve">Computer Science page does not name its teacher.</t>
  </si>
  <si>
    <t xml:space="preserve">VEX IQ robotics team (TechnoPatriots).</t>
  </si>
  <si>
    <t xml:space="preserve">Highly competitive robotics program (~60 students; hosts competitions).</t>
  </si>
  <si>
    <t xml:space="preserve">Science Olympiad national qualifier.</t>
  </si>
  <si>
    <t xml:space="preserve">Top-ranked TSA chapter in Georgia (2025-26).</t>
  </si>
  <si>
    <t xml:space="preserve">CTAE magnet with a School of Mechatronics &amp; Robotics (FRC/FTC). Very strong fit.</t>
  </si>
  <si>
    <t xml:space="preserve">Offers Engineering &amp; AI pathways, but no named engineering/robotics teacher published; CTAE chairs used.</t>
  </si>
  <si>
    <t xml:space="preserve">Has a STEM Academy and FRC team.</t>
  </si>
  <si>
    <t xml:space="preserve">VEX and FRC robotics; IB school.</t>
  </si>
  <si>
    <t xml:space="preserve">6-12 (Gateway 6-12 alt.; Forsyth Academy 9-12; Virtual 6-12)</t>
  </si>
  <si>
    <t xml:space="preserve">https://www.forsyth.k12.ga.us/inside-fcs/school-administrators</t>
  </si>
  <si>
    <t xml:space="preserve">Three non-traditional programs on one campus under one principal; not reported separately by GOSA.</t>
  </si>
  <si>
    <t xml:space="preserve">SwayForm Fall 2027 Outreach - Research Summary (Clayton, Cherokee, Forsyth)</t>
  </si>
  <si>
    <t xml:space="preserve">Research conducted October 30, 2026. Counts below are live formulas over the other two sheets.</t>
  </si>
  <si>
    <t xml:space="preserve">Metric</t>
  </si>
  <si>
    <t xml:space="preserve">Total</t>
  </si>
  <si>
    <t xml:space="preserve">Middle schools identified</t>
  </si>
  <si>
    <t xml:space="preserve">High schools identified</t>
  </si>
  <si>
    <t xml:space="preserve">Combined-grade schools / programs identified</t>
  </si>
  <si>
    <t xml:space="preserve">Total unique schools researched</t>
  </si>
  <si>
    <t xml:space="preserve">Total verified contacts (rows)</t>
  </si>
  <si>
    <t xml:space="preserve">Contacts listed without a published email (not usable)</t>
  </si>
  <si>
    <t xml:space="preserve">High-priority verified contacts</t>
  </si>
  <si>
    <t xml:space="preserve">Schools with 3-5 verified contacts</t>
  </si>
  <si>
    <t xml:space="preserve">Schools with 1-2 verified contacts (insufficient)</t>
  </si>
  <si>
    <t xml:space="preserve">Schools with 0 verified contacts</t>
  </si>
  <si>
    <t xml:space="preserve">Unique people with verified emails (a few staff serve 2 schools)</t>
  </si>
  <si>
    <t xml:space="preserve">Computed in Python from distinct addresses on School Contacts sheet.</t>
  </si>
  <si>
    <t xml:space="preserve">Schools with insufficient or limited publicly available contact information</t>
  </si>
  <si>
    <t xml:space="preserve">(See "Number of Verified Contacts Found" on the Complete School List for exact counts.)</t>
  </si>
  <si>
    <t xml:space="preserve">- Tapestry Public Charter School (Clayton campus) (Clayton): New Clayton-authorized charter opened Fall 2026 (not yet in GOSA data). Faculty directory publishes names only, no emails.</t>
  </si>
  <si>
    <t xml:space="preserve">- Alternative Virtual Academy (Clayton): Program listed by district; not reported as a separate school by GOSA. Site publishes only counselor/generic emails and no named leadership.</t>
  </si>
  <si>
    <t xml:space="preserve">- Ash Street Center (South Metro GNETS) (Clayton): Georgia Network for Educational &amp; Therapeutic Support program for students with IEPs; not a standard school. Low fit; director only.</t>
  </si>
  <si>
    <t xml:space="preserve">- E.T. Booth Middle School (Cherokee): Faculty/Staff page renders empty (checked with a headless browser); only the administration team could be verified.</t>
  </si>
  <si>
    <t xml:space="preserve">- Teasley Middle School (Cherokee): Faculty directory labels elective teachers only as "Connections", so STEM/CS teachers could not be identified. ("TSA" here = Teacher Support Administrator.)</t>
  </si>
  <si>
    <t xml:space="preserve">- Cherokee High School (Cherokee): No faculty email directory published; principal and assistant principals (by department oversight) only. AP CS teacher named without email.</t>
  </si>
  <si>
    <t xml:space="preserve">- i-Grad Virtual Academy (Cherokee): Part of Active Academies; shares administration with ACE Academy.</t>
  </si>
  <si>
    <t xml:space="preserve">- ACE Academy (Cherokee): Alternative program within Active Academies (not reported separately by GOSA); shares administration with i-Grad.</t>
  </si>
  <si>
    <t xml:space="preserve">- Hendricks Middle School (Forsyth): Computer Science page does not name its teacher.</t>
  </si>
  <si>
    <t xml:space="preserve">Methodology</t>
  </si>
  <si>
    <t xml:space="preserve">1. School universe: each district's official school directory (Clayton: /about/district-schools; Cherokee: /schools; Forsyth: /inside-fcs/school-administrators), cross-checked against the Georgia GOSA "Enrollment by Grade 2024-25" file (all schools serving any of grades 6-12 in district codes Clayton/Cherokee/Forsyth) and the 2025-26 Georgia Master Charter School List (State Charter Schools Commission). Every GOSA school with grades 6-12 in the three districts appears on the School List; additional district-listed programs are included as Combined.</t>
  </si>
  <si>
    <t xml:space="preserve">2. Every school website (70+ sites, ~5,000 pages) was crawled and every published mailto address was captured with its surrounding role context. Clayton Finalsite staff directories were read page by page (titles for every staff member) and each candidate's directory profile was opened to read the email the page itself displays and the school(s) the person is assigned to.</t>
  </si>
  <si>
    <t xml:space="preserve">3. Contacts were chosen in the requested priority order: robotics sponsors/coaches &gt; engineering/STEM leads &gt; computer science/technology/CTAE &gt; science department chairs/teachers &gt; principal &gt; assistant principals. The principal was always included as the purchasing decision-maker when a verified address existed.</t>
  </si>
  <si>
    <t xml:space="preserve">4. Verification standard: an email is marked Verified only if the exact address is published on an official school, district, or charter-operator web page (URL in column I). No address was constructed from a naming pattern. Where a role page and the staff directory show different addresses for the same person, the directory address is listed and the alternate is recorded in Notes.</t>
  </si>
  <si>
    <t xml:space="preserve">5. Priority: High = robotics/engineering/STEM/CS/CTAE staff and principals; Medium = science department chairs, curriculum/CTAE assistant principals, STEM-adjacent sponsors; Low = individual science teachers and general assistant principals.</t>
  </si>
  <si>
    <t xml:space="preserve">Research limitations and data caveats</t>
  </si>
  <si>
    <t xml:space="preserve">- Staff directories reflect the 2026-27 year as published on Oct 30, 2026; staff turnover after that date is not captured. Several sites contain stale pages (e.g., Adamson MS robotics page, Mill Creek MS school council, Kendrick MS mis-linked emails); in each case the current staff directory was treated as authoritative and the conflict noted.</t>
  </si>
  <si>
    <t xml:space="preserve">- Forsyth staff directories list name and email but not job titles; roles were taken from each school's connections/CTAE/club/leadership pages and matched to the directory by name. Forsyth publishes both name-based and employee-ID (fNNNNN@) addresses; 7 contacts show a different address on the role page than in the directory - confirm before sending.</t>
  </si>
  <si>
    <t xml:space="preserve">- Clayton directory emails are rendered by the official Finalsite page script (the address shown to any visitor); a few Clayton staff are assigned to two schools and therefore appear under both (noted per row).</t>
  </si>
  <si>
    <t xml:space="preserve">- Cherokee High School and E.T. Booth Middle School do not publish usable faculty email directories; Teasley MS and Creekview HS do not identify elective/CTAE teachers by subject.</t>
  </si>
  <si>
    <t xml:space="preserve">- Tapestry Public Charter School (Clayton campus) opened Fall 2026 and does not publish staff emails beyond the principal (from the CCPS charter page). Utopian Academy HS principal email is not published.</t>
  </si>
  <si>
    <t xml:space="preserve">- Club sponsor lists can change mid-year; robotics sponsors were taken from the 2026-27 club pages where dated, otherwise current pages.</t>
  </si>
  <si>
    <t xml:space="preserve">- No emails were sent and no schools were contacted.</t>
  </si>
  <si>
    <t xml:space="preserve">Reviewed and excluded (not in scope)</t>
  </si>
  <si>
    <t xml:space="preserve">- Kay R. Pace School of the Arts, Unidos Dual Language School, Michelle Obama STEM Elementary Academy (Clayton): GOSA reports elementary grades only.</t>
  </si>
  <si>
    <t xml:space="preserve">- Utopian Academy for the Arts Elementary (K-5) and Trilith campus (statewide charter); DuBois Integrity Academy (K-8 state charter) and other State Charter Schools Commission schools serving Clayton: not authorized by an assigned district.</t>
  </si>
  <si>
    <t xml:space="preserve">- Cherokee Charter Academy / Cherokee Classical Academy: state-commission charters, not authorized by Cherokee County School District.</t>
  </si>
  <si>
    <t xml:space="preserve">- Mountain Education Charter High School: separately chartered evening program listed on the Cherokee and Forsyth sites; not district-operated and not on the 2025-26 locally-approved charter list.</t>
  </si>
  <si>
    <t xml:space="preserve">- Cherokee County "Virtual School" is delivered through Active Academies (covered under i-Grad / ACE Academy rows).</t>
  </si>
  <si>
    <t xml:space="preserve">Quality control performed</t>
  </si>
  <si>
    <t xml:space="preserve">- Duplicate schools: none (each GOSA school code maps to one row). Duplicate contacts: none within a school; 7 addresses intentionally appear under two schools (shared/multi-site staff, noted in each row).</t>
  </si>
  <si>
    <t xml:space="preserve">- Every Verified email has a source URL; every contact was matched to its school via that school's own website or Clayton directory profile assignment.</t>
  </si>
  <si>
    <t xml:space="preserve">- Grade spans checked against GOSA 2024-25 (e.g., Stilwell School of the Arts corrected to 9-12).</t>
  </si>
  <si>
    <t xml:space="preserve">- All counts in this summary are formulas and update automatically if rows are added or removed.</t>
  </si>
</sst>
</file>

<file path=xl/styles.xml><?xml version="1.0" encoding="utf-8"?>
<styleSheet xmlns="http://schemas.openxmlformats.org/spreadsheetml/2006/main">
  <numFmts count="2">
    <numFmt numFmtId="164" formatCode="General"/>
    <numFmt numFmtId="165" formatCode="General"/>
  </numFmts>
  <fonts count="13">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sz val="10"/>
      <name val="Arial"/>
      <family val="0"/>
      <charset val="1"/>
    </font>
    <font>
      <sz val="10"/>
      <color rgb="FF0000FF"/>
      <name val="Arial"/>
      <family val="0"/>
      <charset val="1"/>
    </font>
    <font>
      <i val="true"/>
      <sz val="10"/>
      <color rgb="FF808080"/>
      <name val="Arial"/>
      <family val="0"/>
      <charset val="1"/>
    </font>
    <font>
      <b val="true"/>
      <sz val="14"/>
      <name val="Arial"/>
      <family val="0"/>
      <charset val="1"/>
    </font>
    <font>
      <i val="true"/>
      <sz val="10"/>
      <name val="Arial"/>
      <family val="0"/>
      <charset val="1"/>
    </font>
    <font>
      <b val="true"/>
      <sz val="10"/>
      <name val="Arial"/>
      <family val="0"/>
      <charset val="1"/>
    </font>
    <font>
      <i val="true"/>
      <sz val="9"/>
      <name val="Arial"/>
      <family val="0"/>
      <charset val="1"/>
    </font>
    <font>
      <b val="true"/>
      <sz val="12"/>
      <name val="Arial"/>
      <family val="0"/>
      <charset val="1"/>
    </font>
  </fonts>
  <fills count="6">
    <fill>
      <patternFill patternType="none"/>
    </fill>
    <fill>
      <patternFill patternType="gray125"/>
    </fill>
    <fill>
      <patternFill patternType="solid">
        <fgColor rgb="FF1F3864"/>
        <bgColor rgb="FF333333"/>
      </patternFill>
    </fill>
    <fill>
      <patternFill patternType="solid">
        <fgColor rgb="FFE2EFDA"/>
        <bgColor rgb="FFF2F2F2"/>
      </patternFill>
    </fill>
    <fill>
      <patternFill patternType="solid">
        <fgColor rgb="FFFFF2CC"/>
        <bgColor rgb="FFF2F2F2"/>
      </patternFill>
    </fill>
    <fill>
      <patternFill patternType="solid">
        <fgColor rgb="FFF2F2F2"/>
        <bgColor rgb="FFE2EFDA"/>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false" indent="0" shrinkToFit="false"/>
      <protection locked="true" hidden="false"/>
    </xf>
    <xf numFmtId="164" fontId="5" fillId="3" borderId="1" xfId="0" applyFont="true" applyBorder="true" applyAlignment="true" applyProtection="false">
      <alignment horizontal="general" vertical="top" textRotation="0" wrapText="false" indent="0" shrinkToFit="false"/>
      <protection locked="true" hidden="false"/>
    </xf>
    <xf numFmtId="164" fontId="5" fillId="4" borderId="1" xfId="0" applyFont="true" applyBorder="true" applyAlignment="true" applyProtection="false">
      <alignment horizontal="general" vertical="top" textRotation="0" wrapText="false" indent="0" shrinkToFit="false"/>
      <protection locked="true" hidden="false"/>
    </xf>
    <xf numFmtId="164" fontId="5" fillId="5" borderId="1" xfId="0" applyFont="true" applyBorder="true" applyAlignment="true" applyProtection="false">
      <alignment horizontal="general"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false" indent="0" shrinkToFit="false"/>
      <protection locked="true" hidden="false"/>
    </xf>
    <xf numFmtId="164" fontId="7" fillId="5" borderId="1" xfId="0" applyFont="true" applyBorder="true" applyAlignment="true" applyProtection="false">
      <alignment horizontal="general" vertical="top" textRotation="0" wrapText="false" indent="0" shrinkToFit="false"/>
      <protection locked="true" hidden="false"/>
    </xf>
    <xf numFmtId="164" fontId="7" fillId="4" borderId="1" xfId="0" applyFont="true" applyBorder="true" applyAlignment="true" applyProtection="false">
      <alignment horizontal="general" vertical="top"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general" vertical="bottom" textRotation="0" wrapText="tru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5" fontId="10" fillId="0" borderId="1"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1F3864"/>
          <bgColor rgb="FF000000"/>
        </patternFill>
      </fill>
    </dxf>
    <dxf>
      <fill>
        <patternFill patternType="solid">
          <bgColor rgb="FF000000"/>
        </patternFill>
      </fill>
    </dxf>
    <dxf>
      <fill>
        <patternFill patternType="solid">
          <fgColor rgb="FF808080"/>
          <bgColor rgb="FF000000"/>
        </patternFill>
      </fill>
    </dxf>
    <dxf>
      <fill>
        <patternFill patternType="solid">
          <fgColor rgb="FFFFFFFF"/>
          <bgColor rgb="FF000000"/>
        </patternFill>
      </fill>
    </dxf>
    <dxf>
      <fill>
        <patternFill patternType="solid">
          <fgColor rgb="FFE2EFDA"/>
          <bgColor rgb="FF000000"/>
        </patternFill>
      </fill>
    </dxf>
    <dxf>
      <fill>
        <patternFill patternType="solid">
          <fgColor rgb="FFF2F2F2"/>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F2F2F2"/>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mailto:segeeta.allenbland@clayton.k12.ga.us" TargetMode="External"/><Relationship Id="rId2" Type="http://schemas.openxmlformats.org/officeDocument/2006/relationships/hyperlink" Target="mailto:adrian.courtland@clayton.k12.ga.us" TargetMode="External"/><Relationship Id="rId3" Type="http://schemas.openxmlformats.org/officeDocument/2006/relationships/hyperlink" Target="mailto:lakesha.roberts@clayton.k12.ga.us" TargetMode="External"/><Relationship Id="rId4" Type="http://schemas.openxmlformats.org/officeDocument/2006/relationships/hyperlink" Target="mailto:melody.powell@clayton.k12.ga.us" TargetMode="External"/><Relationship Id="rId5" Type="http://schemas.openxmlformats.org/officeDocument/2006/relationships/hyperlink" Target="mailto:aaleyah.kelso@clayton.k12.ga.us" TargetMode="External"/><Relationship Id="rId6" Type="http://schemas.openxmlformats.org/officeDocument/2006/relationships/hyperlink" Target="mailto:monique.lewis@clayton.k12.ga.us" TargetMode="External"/><Relationship Id="rId7" Type="http://schemas.openxmlformats.org/officeDocument/2006/relationships/hyperlink" Target="mailto:letitia.lewis@clayton.k12.ga.us" TargetMode="External"/><Relationship Id="rId8" Type="http://schemas.openxmlformats.org/officeDocument/2006/relationships/hyperlink" Target="mailto:charles.gilchrist@clayton.k12.ga.us" TargetMode="External"/><Relationship Id="rId9" Type="http://schemas.openxmlformats.org/officeDocument/2006/relationships/hyperlink" Target="mailto:kantrell.gibson-brown@clayton.k12.ga.us" TargetMode="External"/><Relationship Id="rId10" Type="http://schemas.openxmlformats.org/officeDocument/2006/relationships/hyperlink" Target="mailto:cadine.ferguson@clayton.k12.ga.us" TargetMode="External"/><Relationship Id="rId11" Type="http://schemas.openxmlformats.org/officeDocument/2006/relationships/hyperlink" Target="mailto:lynna.springs@clayton.k12.ga.us" TargetMode="External"/><Relationship Id="rId12" Type="http://schemas.openxmlformats.org/officeDocument/2006/relationships/hyperlink" Target="mailto:shannon.hoskinsprayl@clayton.k12.ga.us" TargetMode="External"/><Relationship Id="rId13" Type="http://schemas.openxmlformats.org/officeDocument/2006/relationships/hyperlink" Target="mailto:micki.harris@clayton.k12.ga.us" TargetMode="External"/><Relationship Id="rId14" Type="http://schemas.openxmlformats.org/officeDocument/2006/relationships/hyperlink" Target="mailto:sharlissa.pollard@clayton.k12.ga.us" TargetMode="External"/><Relationship Id="rId15" Type="http://schemas.openxmlformats.org/officeDocument/2006/relationships/hyperlink" Target="mailto:adriel.thomas@clayton.k12.ga.us" TargetMode="External"/><Relationship Id="rId16" Type="http://schemas.openxmlformats.org/officeDocument/2006/relationships/hyperlink" Target="mailto:thomas.stinson@clayton.k12.ga.us" TargetMode="External"/><Relationship Id="rId17" Type="http://schemas.openxmlformats.org/officeDocument/2006/relationships/hyperlink" Target="mailto:ramona.potts@clayton.k12.ga.us" TargetMode="External"/><Relationship Id="rId18" Type="http://schemas.openxmlformats.org/officeDocument/2006/relationships/hyperlink" Target="mailto:harold.dobbins@clayton.k12.ga.us" TargetMode="External"/><Relationship Id="rId19" Type="http://schemas.openxmlformats.org/officeDocument/2006/relationships/hyperlink" Target="mailto:sara.vasquez@clayton.k12.ga.us" TargetMode="External"/><Relationship Id="rId20" Type="http://schemas.openxmlformats.org/officeDocument/2006/relationships/hyperlink" Target="mailto:chasity.jackson@clayton.k12.ga.us" TargetMode="External"/><Relationship Id="rId21" Type="http://schemas.openxmlformats.org/officeDocument/2006/relationships/hyperlink" Target="mailto:nakia.cole@clayton.k12.ga.us" TargetMode="External"/><Relationship Id="rId22" Type="http://schemas.openxmlformats.org/officeDocument/2006/relationships/hyperlink" Target="mailto:taylor.milam@clayton.k12.ga.us" TargetMode="External"/><Relationship Id="rId23" Type="http://schemas.openxmlformats.org/officeDocument/2006/relationships/hyperlink" Target="mailto:ashley.young@clayton.k12.ga.us" TargetMode="External"/><Relationship Id="rId24" Type="http://schemas.openxmlformats.org/officeDocument/2006/relationships/hyperlink" Target="mailto:deborah.green@clayton.k12.ga.us" TargetMode="External"/><Relationship Id="rId25" Type="http://schemas.openxmlformats.org/officeDocument/2006/relationships/hyperlink" Target="mailto:adeline.bazard@clayton.k12.ga.us" TargetMode="External"/><Relationship Id="rId26" Type="http://schemas.openxmlformats.org/officeDocument/2006/relationships/hyperlink" Target="mailto:kim.nguyen@clayton.k12.ga.us" TargetMode="External"/><Relationship Id="rId27" Type="http://schemas.openxmlformats.org/officeDocument/2006/relationships/hyperlink" Target="mailto:onequa.hampshire@clayton.k12.ga.us" TargetMode="External"/><Relationship Id="rId28" Type="http://schemas.openxmlformats.org/officeDocument/2006/relationships/hyperlink" Target="mailto:kimberlee.barnett@clayton.k12.ga.us" TargetMode="External"/><Relationship Id="rId29" Type="http://schemas.openxmlformats.org/officeDocument/2006/relationships/hyperlink" Target="mailto:wendy.thompson@clayton.k12.ga.us" TargetMode="External"/><Relationship Id="rId30" Type="http://schemas.openxmlformats.org/officeDocument/2006/relationships/hyperlink" Target="mailto:michael.walraven@clayton.k12.ga.us" TargetMode="External"/><Relationship Id="rId31" Type="http://schemas.openxmlformats.org/officeDocument/2006/relationships/hyperlink" Target="mailto:jessie.henry@clayton.k12.ga.us" TargetMode="External"/><Relationship Id="rId32" Type="http://schemas.openxmlformats.org/officeDocument/2006/relationships/hyperlink" Target="mailto:caryn.turner@clayton.k12.ga.us" TargetMode="External"/><Relationship Id="rId33" Type="http://schemas.openxmlformats.org/officeDocument/2006/relationships/hyperlink" Target="mailto:stacy.black@clayton.k12.ga.us" TargetMode="External"/><Relationship Id="rId34" Type="http://schemas.openxmlformats.org/officeDocument/2006/relationships/hyperlink" Target="mailto:torressa.smith@clayton.k12.ga.us" TargetMode="External"/><Relationship Id="rId35" Type="http://schemas.openxmlformats.org/officeDocument/2006/relationships/hyperlink" Target="mailto:gary.lomba@clayton.k12.ga.us" TargetMode="External"/><Relationship Id="rId36" Type="http://schemas.openxmlformats.org/officeDocument/2006/relationships/hyperlink" Target="mailto:valencia.smith@clayton.k12.ga.us" TargetMode="External"/><Relationship Id="rId37" Type="http://schemas.openxmlformats.org/officeDocument/2006/relationships/hyperlink" Target="mailto:christopher.robinson@clayton.k12.ga.us" TargetMode="External"/><Relationship Id="rId38" Type="http://schemas.openxmlformats.org/officeDocument/2006/relationships/hyperlink" Target="mailto:deon.pennyman@clayton.k12.ga.us" TargetMode="External"/><Relationship Id="rId39" Type="http://schemas.openxmlformats.org/officeDocument/2006/relationships/hyperlink" Target="mailto:david.johnson@clayton.k12.ga.us" TargetMode="External"/><Relationship Id="rId40" Type="http://schemas.openxmlformats.org/officeDocument/2006/relationships/hyperlink" Target="mailto:nicole.reese@clayton.k12.ga.us" TargetMode="External"/><Relationship Id="rId41" Type="http://schemas.openxmlformats.org/officeDocument/2006/relationships/hyperlink" Target="mailto:heather.peterson@clayton.k12.ga.us" TargetMode="External"/><Relationship Id="rId42" Type="http://schemas.openxmlformats.org/officeDocument/2006/relationships/hyperlink" Target="mailto:lorraine.houlder@clayton.k12.ga.us" TargetMode="External"/><Relationship Id="rId43" Type="http://schemas.openxmlformats.org/officeDocument/2006/relationships/hyperlink" Target="mailto:katharina.wade@clayton.k12.ga.us" TargetMode="External"/><Relationship Id="rId44" Type="http://schemas.openxmlformats.org/officeDocument/2006/relationships/hyperlink" Target="mailto:karen.artis@clayton.k12.ga.us" TargetMode="External"/><Relationship Id="rId45" Type="http://schemas.openxmlformats.org/officeDocument/2006/relationships/hyperlink" Target="mailto:carlos.cliett@clayton.k12.ga.us" TargetMode="External"/><Relationship Id="rId46" Type="http://schemas.openxmlformats.org/officeDocument/2006/relationships/hyperlink" Target="mailto:brittney.blackwell@clayton.k12.ga.us" TargetMode="External"/><Relationship Id="rId47" Type="http://schemas.openxmlformats.org/officeDocument/2006/relationships/hyperlink" Target="mailto:beverly.scott@clayton.k12.ga.us" TargetMode="External"/><Relationship Id="rId48" Type="http://schemas.openxmlformats.org/officeDocument/2006/relationships/hyperlink" Target="mailto:nina.shannon@clayton.k12.ga.us" TargetMode="External"/><Relationship Id="rId49" Type="http://schemas.openxmlformats.org/officeDocument/2006/relationships/hyperlink" Target="mailto:shakeria.chaney@clayton.k12.ga.us" TargetMode="External"/><Relationship Id="rId50" Type="http://schemas.openxmlformats.org/officeDocument/2006/relationships/hyperlink" Target="mailto:crystal.husbands@clayton.k12.ga.us" TargetMode="External"/><Relationship Id="rId51" Type="http://schemas.openxmlformats.org/officeDocument/2006/relationships/hyperlink" Target="mailto:imani.warden@clayton.k12.ga.us" TargetMode="External"/><Relationship Id="rId52" Type="http://schemas.openxmlformats.org/officeDocument/2006/relationships/hyperlink" Target="mailto:tiyon.watson@clayton.k12.ga.us" TargetMode="External"/><Relationship Id="rId53" Type="http://schemas.openxmlformats.org/officeDocument/2006/relationships/hyperlink" Target="mailto:malakia.wright@clayton.k12.ga.us" TargetMode="External"/><Relationship Id="rId54" Type="http://schemas.openxmlformats.org/officeDocument/2006/relationships/hyperlink" Target="mailto:corey.stephens@clayton.k12.ga.us" TargetMode="External"/><Relationship Id="rId55" Type="http://schemas.openxmlformats.org/officeDocument/2006/relationships/hyperlink" Target="mailto:jelani.narcisse@clayton.k12.ga.us" TargetMode="External"/><Relationship Id="rId56" Type="http://schemas.openxmlformats.org/officeDocument/2006/relationships/hyperlink" Target="mailto:rose.powell@clayton.k12.ga.us" TargetMode="External"/><Relationship Id="rId57" Type="http://schemas.openxmlformats.org/officeDocument/2006/relationships/hyperlink" Target="mailto:karen.artis@clayton.k12.ga.us" TargetMode="External"/><Relationship Id="rId58" Type="http://schemas.openxmlformats.org/officeDocument/2006/relationships/hyperlink" Target="mailto:jarrett.proctor@clayton.k12.ga.us" TargetMode="External"/><Relationship Id="rId59" Type="http://schemas.openxmlformats.org/officeDocument/2006/relationships/hyperlink" Target="mailto:anthony.barnes@clayton.k12.ga.us" TargetMode="External"/><Relationship Id="rId60" Type="http://schemas.openxmlformats.org/officeDocument/2006/relationships/hyperlink" Target="mailto:breonca.ashley@clayton.k12.ga.us" TargetMode="External"/><Relationship Id="rId61" Type="http://schemas.openxmlformats.org/officeDocument/2006/relationships/hyperlink" Target="mailto:eugene.bridges@clayton.k12.ga.us" TargetMode="External"/><Relationship Id="rId62" Type="http://schemas.openxmlformats.org/officeDocument/2006/relationships/hyperlink" Target="mailto:tammy.weatherspoon@clayton.k12.ga.us" TargetMode="External"/><Relationship Id="rId63" Type="http://schemas.openxmlformats.org/officeDocument/2006/relationships/hyperlink" Target="mailto:cedrick.coleman@clayton.k12.ga.us" TargetMode="External"/><Relationship Id="rId64" Type="http://schemas.openxmlformats.org/officeDocument/2006/relationships/hyperlink" Target="mailto:michael.smithii@clayton.k12.ga.us" TargetMode="External"/><Relationship Id="rId65" Type="http://schemas.openxmlformats.org/officeDocument/2006/relationships/hyperlink" Target="mailto:catrina.edwards@clayton.k12.ga.us" TargetMode="External"/><Relationship Id="rId66" Type="http://schemas.openxmlformats.org/officeDocument/2006/relationships/hyperlink" Target="mailto:monique.lewis@clayton.k12.ga.us" TargetMode="External"/><Relationship Id="rId67" Type="http://schemas.openxmlformats.org/officeDocument/2006/relationships/hyperlink" Target="mailto:jhamare.hartsfield@clayton.k12.ga.us" TargetMode="External"/><Relationship Id="rId68" Type="http://schemas.openxmlformats.org/officeDocument/2006/relationships/hyperlink" Target="mailto:sonja.bennings@clayton.k12.ga.us" TargetMode="External"/><Relationship Id="rId69" Type="http://schemas.openxmlformats.org/officeDocument/2006/relationships/hyperlink" Target="mailto:lawrence.yarbrough@clayton.k12.ga.us" TargetMode="External"/><Relationship Id="rId70" Type="http://schemas.openxmlformats.org/officeDocument/2006/relationships/hyperlink" Target="mailto:henretta.reese@clayton.k12.ga.us" TargetMode="External"/><Relationship Id="rId71" Type="http://schemas.openxmlformats.org/officeDocument/2006/relationships/hyperlink" Target="mailto:toujour.eugene@utopianacademy.com" TargetMode="External"/><Relationship Id="rId72" Type="http://schemas.openxmlformats.org/officeDocument/2006/relationships/hyperlink" Target="mailto:travis.joshua@utopianacademy.com" TargetMode="External"/><Relationship Id="rId73" Type="http://schemas.openxmlformats.org/officeDocument/2006/relationships/hyperlink" Target="mailto:artesius.miller@utopianacademy.com" TargetMode="External"/><Relationship Id="rId74" Type="http://schemas.openxmlformats.org/officeDocument/2006/relationships/hyperlink" Target="mailto:christopher.starks@utopianacademy.com" TargetMode="External"/><Relationship Id="rId75" Type="http://schemas.openxmlformats.org/officeDocument/2006/relationships/hyperlink" Target="mailto:damion.miller@utopianacademy.com" TargetMode="External"/><Relationship Id="rId76" Type="http://schemas.openxmlformats.org/officeDocument/2006/relationships/hyperlink" Target="mailto:phillip.noble@clayton.k12.ga.us" TargetMode="External"/><Relationship Id="rId77" Type="http://schemas.openxmlformats.org/officeDocument/2006/relationships/hyperlink" Target="mailto:tiffany.mays@clayton.k12.ga.us" TargetMode="External"/><Relationship Id="rId78" Type="http://schemas.openxmlformats.org/officeDocument/2006/relationships/hyperlink" Target="mailto:tangela.benjamin@clayton.k12.ga.us" TargetMode="External"/><Relationship Id="rId79" Type="http://schemas.openxmlformats.org/officeDocument/2006/relationships/hyperlink" Target="mailto:kenneth.chong@clayton.k12.ga.us" TargetMode="External"/><Relationship Id="rId80" Type="http://schemas.openxmlformats.org/officeDocument/2006/relationships/hyperlink" Target="mailto:dennis.truitt@clayton.k12.ga.us" TargetMode="External"/><Relationship Id="rId81" Type="http://schemas.openxmlformats.org/officeDocument/2006/relationships/hyperlink" Target="mailto:jimmie.fox@clayton.k12.ga.us" TargetMode="External"/><Relationship Id="rId82" Type="http://schemas.openxmlformats.org/officeDocument/2006/relationships/hyperlink" Target="mailto:mia.walker@clayton.k12.ga.us" TargetMode="External"/><Relationship Id="rId83" Type="http://schemas.openxmlformats.org/officeDocument/2006/relationships/hyperlink" Target="mailto:charles.stafford@clayton.k12.ga.us" TargetMode="External"/><Relationship Id="rId84" Type="http://schemas.openxmlformats.org/officeDocument/2006/relationships/hyperlink" Target="mailto:kim.dancy@clayton.k12.ga.us" TargetMode="External"/><Relationship Id="rId85" Type="http://schemas.openxmlformats.org/officeDocument/2006/relationships/hyperlink" Target="mailto:carline.richardson@clayton.k12.ga.us" TargetMode="External"/><Relationship Id="rId86" Type="http://schemas.openxmlformats.org/officeDocument/2006/relationships/hyperlink" Target="mailto:john.cox@clayton.k12.ga.us" TargetMode="External"/><Relationship Id="rId87" Type="http://schemas.openxmlformats.org/officeDocument/2006/relationships/hyperlink" Target="mailto:martina.morris-orr@clayton.k12.ga.us" TargetMode="External"/><Relationship Id="rId88" Type="http://schemas.openxmlformats.org/officeDocument/2006/relationships/hyperlink" Target="mailto:william.dean@clayton.k12.ga.us" TargetMode="External"/><Relationship Id="rId89" Type="http://schemas.openxmlformats.org/officeDocument/2006/relationships/hyperlink" Target="mailto:tenisha.bailey@clayton.k12.ga.us" TargetMode="External"/><Relationship Id="rId90" Type="http://schemas.openxmlformats.org/officeDocument/2006/relationships/hyperlink" Target="mailto:katherine.williams-tanner@clayton.k12.ga.us" TargetMode="External"/><Relationship Id="rId91" Type="http://schemas.openxmlformats.org/officeDocument/2006/relationships/hyperlink" Target="mailto:laticsha.elder@clayton.k12.ga.us" TargetMode="External"/><Relationship Id="rId92" Type="http://schemas.openxmlformats.org/officeDocument/2006/relationships/hyperlink" Target="mailto:kelvin.griffin@clayton.k12.ga.us" TargetMode="External"/><Relationship Id="rId93" Type="http://schemas.openxmlformats.org/officeDocument/2006/relationships/hyperlink" Target="mailto:dwayne.boddie@clayton.k12.ga.us" TargetMode="External"/><Relationship Id="rId94" Type="http://schemas.openxmlformats.org/officeDocument/2006/relationships/hyperlink" Target="mailto:simone.wilson-hunt@clayton.k12.ga.us" TargetMode="External"/><Relationship Id="rId95" Type="http://schemas.openxmlformats.org/officeDocument/2006/relationships/hyperlink" Target="mailto:cheryl.wilder@clayton.k12.ga.us" TargetMode="External"/><Relationship Id="rId96" Type="http://schemas.openxmlformats.org/officeDocument/2006/relationships/hyperlink" Target="mailto:brenda.ross-wilson@clayton.k12.ga.us" TargetMode="External"/><Relationship Id="rId97" Type="http://schemas.openxmlformats.org/officeDocument/2006/relationships/hyperlink" Target="mailto:tomeka.crum@clayton.k12.ga.us" TargetMode="External"/><Relationship Id="rId98" Type="http://schemas.openxmlformats.org/officeDocument/2006/relationships/hyperlink" Target="mailto:britney.lee@clayton.k12.ga.us" TargetMode="External"/><Relationship Id="rId99" Type="http://schemas.openxmlformats.org/officeDocument/2006/relationships/hyperlink" Target="mailto:tanya.kirk@clayton.k12.ga.us" TargetMode="External"/><Relationship Id="rId100" Type="http://schemas.openxmlformats.org/officeDocument/2006/relationships/hyperlink" Target="mailto:rebecca.brown@clayton.k12.ga.us" TargetMode="External"/><Relationship Id="rId101" Type="http://schemas.openxmlformats.org/officeDocument/2006/relationships/hyperlink" Target="mailto:noel.bosh@clayton.k12.ga.us" TargetMode="External"/><Relationship Id="rId102" Type="http://schemas.openxmlformats.org/officeDocument/2006/relationships/hyperlink" Target="mailto:shanda.vasser@clayton.k12.ga.us" TargetMode="External"/><Relationship Id="rId103" Type="http://schemas.openxmlformats.org/officeDocument/2006/relationships/hyperlink" Target="mailto:victor.martinezvargas@clayton.k12.ga.us" TargetMode="External"/><Relationship Id="rId104" Type="http://schemas.openxmlformats.org/officeDocument/2006/relationships/hyperlink" Target="mailto:lawvigneaud.harrell@clayton.k12.ga.us" TargetMode="External"/><Relationship Id="rId105" Type="http://schemas.openxmlformats.org/officeDocument/2006/relationships/hyperlink" Target="mailto:abeda.banu@clayton.k12.ga.us" TargetMode="External"/><Relationship Id="rId106" Type="http://schemas.openxmlformats.org/officeDocument/2006/relationships/hyperlink" Target="mailto:lorraine.houlder@clayton.k12.ga.us" TargetMode="External"/><Relationship Id="rId107" Type="http://schemas.openxmlformats.org/officeDocument/2006/relationships/hyperlink" Target="mailto:lisa.williams@clayton.k12.ga.us" TargetMode="External"/><Relationship Id="rId108" Type="http://schemas.openxmlformats.org/officeDocument/2006/relationships/hyperlink" Target="mailto:kimberly.grant@clayton.k12.ga.us" TargetMode="External"/><Relationship Id="rId109" Type="http://schemas.openxmlformats.org/officeDocument/2006/relationships/hyperlink" Target="mailto:anita.nair@clayton.k12.ga.us" TargetMode="External"/><Relationship Id="rId110" Type="http://schemas.openxmlformats.org/officeDocument/2006/relationships/hyperlink" Target="mailto:madalyn.wallace@clayton.k12.ga.us" TargetMode="External"/><Relationship Id="rId111" Type="http://schemas.openxmlformats.org/officeDocument/2006/relationships/hyperlink" Target="mailto:denise.lucas@clayton.k12.ga.us" TargetMode="External"/><Relationship Id="rId112" Type="http://schemas.openxmlformats.org/officeDocument/2006/relationships/hyperlink" Target="mailto:sheadric.barbra@clayton.k12.ga.us" TargetMode="External"/><Relationship Id="rId113" Type="http://schemas.openxmlformats.org/officeDocument/2006/relationships/hyperlink" Target="mailto:arthur.carter@clayton.k12.ga.us" TargetMode="External"/><Relationship Id="rId114" Type="http://schemas.openxmlformats.org/officeDocument/2006/relationships/hyperlink" Target="mailto:dennis.williamson@clayton.k12.ga.us" TargetMode="External"/><Relationship Id="rId115" Type="http://schemas.openxmlformats.org/officeDocument/2006/relationships/hyperlink" Target="mailto:ayesha.siddiqua@clayton.k12.ga.us" TargetMode="External"/><Relationship Id="rId116" Type="http://schemas.openxmlformats.org/officeDocument/2006/relationships/hyperlink" Target="mailto:stefanie.barnes@clayton.k12.ga.us" TargetMode="External"/><Relationship Id="rId117" Type="http://schemas.openxmlformats.org/officeDocument/2006/relationships/hyperlink" Target="mailto:glen.alexander@clayton.k12.ga.us" TargetMode="External"/><Relationship Id="rId118" Type="http://schemas.openxmlformats.org/officeDocument/2006/relationships/hyperlink" Target="mailto:james.scarborough@clayton.k12.ga.us" TargetMode="External"/><Relationship Id="rId119" Type="http://schemas.openxmlformats.org/officeDocument/2006/relationships/hyperlink" Target="mailto:cedrick.howard@clayton.k12.ga.us" TargetMode="External"/><Relationship Id="rId120" Type="http://schemas.openxmlformats.org/officeDocument/2006/relationships/hyperlink" Target="mailto:alicia.freeman@clayton.k12.ga.us" TargetMode="External"/><Relationship Id="rId121" Type="http://schemas.openxmlformats.org/officeDocument/2006/relationships/hyperlink" Target="mailto:stefanie.barnes@clayton.k12.ga.us" TargetMode="External"/><Relationship Id="rId122" Type="http://schemas.openxmlformats.org/officeDocument/2006/relationships/hyperlink" Target="mailto:micah.johnson@clayton.k12.ga.us" TargetMode="External"/><Relationship Id="rId123" Type="http://schemas.openxmlformats.org/officeDocument/2006/relationships/hyperlink" Target="mailto:pamela.harris@clayton.k12.ga.us" TargetMode="External"/><Relationship Id="rId124" Type="http://schemas.openxmlformats.org/officeDocument/2006/relationships/hyperlink" Target="mailto:sharon.wilson@clayton.k12.ga.us" TargetMode="External"/><Relationship Id="rId125" Type="http://schemas.openxmlformats.org/officeDocument/2006/relationships/hyperlink" Target="mailto:myeisha.wimbush@clayton.k12.ga.us" TargetMode="External"/><Relationship Id="rId126" Type="http://schemas.openxmlformats.org/officeDocument/2006/relationships/hyperlink" Target="mailto:joi.bynum@clayton.k12.ga.us" TargetMode="External"/><Relationship Id="rId127" Type="http://schemas.openxmlformats.org/officeDocument/2006/relationships/hyperlink" Target="mailto:cynthia.freeman-smalls@clayton.k12.ga.us" TargetMode="External"/><Relationship Id="rId128" Type="http://schemas.openxmlformats.org/officeDocument/2006/relationships/hyperlink" Target="mailto:kelly.salley@clayton.k12.ga.us" TargetMode="External"/><Relationship Id="rId129" Type="http://schemas.openxmlformats.org/officeDocument/2006/relationships/hyperlink" Target="mailto:kasondra.todd@clayton.k12.ga.us" TargetMode="External"/><Relationship Id="rId130" Type="http://schemas.openxmlformats.org/officeDocument/2006/relationships/hyperlink" Target="mailto:devon.bivins@clayton.k12.ga.us" TargetMode="External"/><Relationship Id="rId131" Type="http://schemas.openxmlformats.org/officeDocument/2006/relationships/hyperlink" Target="mailto:michael.rosemond@utopianacademy.com" TargetMode="External"/><Relationship Id="rId132" Type="http://schemas.openxmlformats.org/officeDocument/2006/relationships/hyperlink" Target="mailto:retse.johnson-daniels@utopianacademy.com" TargetMode="External"/><Relationship Id="rId133" Type="http://schemas.openxmlformats.org/officeDocument/2006/relationships/hyperlink" Target="mailto:keana.miller@utopianacademy.com" TargetMode="External"/><Relationship Id="rId134" Type="http://schemas.openxmlformats.org/officeDocument/2006/relationships/hyperlink" Target="mailto:talithia.davis@utopianacademy.com" TargetMode="External"/><Relationship Id="rId135" Type="http://schemas.openxmlformats.org/officeDocument/2006/relationships/hyperlink" Target="mailto:paul.johnson@utopianacademy.com" TargetMode="External"/><Relationship Id="rId136" Type="http://schemas.openxmlformats.org/officeDocument/2006/relationships/hyperlink" Target="mailto:lee.wright@clayton.k12.ga.us" TargetMode="External"/><Relationship Id="rId137" Type="http://schemas.openxmlformats.org/officeDocument/2006/relationships/hyperlink" Target="mailto:samuel.west@clayton.k12.ga.us" TargetMode="External"/><Relationship Id="rId138" Type="http://schemas.openxmlformats.org/officeDocument/2006/relationships/hyperlink" Target="mailto:brandi.mather@clayton.k12.ga.us" TargetMode="External"/><Relationship Id="rId139" Type="http://schemas.openxmlformats.org/officeDocument/2006/relationships/hyperlink" Target="mailto:phillip.ramsey@clayton.k12.ga.us" TargetMode="External"/><Relationship Id="rId140" Type="http://schemas.openxmlformats.org/officeDocument/2006/relationships/hyperlink" Target="mailto:tanya.kirk@clayton.k12.ga.us" TargetMode="External"/><Relationship Id="rId141" Type="http://schemas.openxmlformats.org/officeDocument/2006/relationships/hyperlink" Target="mailto:maria.kepler@tapestrycharter.org" TargetMode="External"/><Relationship Id="rId142" Type="http://schemas.openxmlformats.org/officeDocument/2006/relationships/hyperlink" Target="mailto:derrick.gilchrist@clayton.k12.ga.us" TargetMode="External"/><Relationship Id="rId143" Type="http://schemas.openxmlformats.org/officeDocument/2006/relationships/hyperlink" Target="mailto:eric.norris@cherokeek12.net" TargetMode="External"/><Relationship Id="rId144" Type="http://schemas.openxmlformats.org/officeDocument/2006/relationships/hyperlink" Target="mailto:anne.benton@cherokeek12.net" TargetMode="External"/><Relationship Id="rId145" Type="http://schemas.openxmlformats.org/officeDocument/2006/relationships/hyperlink" Target="mailto:phil.dodge@cherokeek12.net" TargetMode="External"/><Relationship Id="rId146" Type="http://schemas.openxmlformats.org/officeDocument/2006/relationships/hyperlink" Target="mailto:josh.martin@cherokeek12.net" TargetMode="External"/><Relationship Id="rId147" Type="http://schemas.openxmlformats.org/officeDocument/2006/relationships/hyperlink" Target="mailto:carmen.power@cherokeek12.net" TargetMode="External"/><Relationship Id="rId148" Type="http://schemas.openxmlformats.org/officeDocument/2006/relationships/hyperlink" Target="mailto:teresa.hutto@cherokeek12.net" TargetMode="External"/><Relationship Id="rId149" Type="http://schemas.openxmlformats.org/officeDocument/2006/relationships/hyperlink" Target="mailto:jennifer.campbell@cherokeek12.net" TargetMode="External"/><Relationship Id="rId150" Type="http://schemas.openxmlformats.org/officeDocument/2006/relationships/hyperlink" Target="mailto:jacob.pendergraft@cherokeek12.net" TargetMode="External"/><Relationship Id="rId151" Type="http://schemas.openxmlformats.org/officeDocument/2006/relationships/hyperlink" Target="mailto:dawn.weinbaum@cherokeek12.net" TargetMode="External"/><Relationship Id="rId152" Type="http://schemas.openxmlformats.org/officeDocument/2006/relationships/hyperlink" Target="mailto:alison.alderfer@cherokeek12.net" TargetMode="External"/><Relationship Id="rId153" Type="http://schemas.openxmlformats.org/officeDocument/2006/relationships/hyperlink" Target="mailto:todd.sharrock@cherokeek12.net" TargetMode="External"/><Relationship Id="rId154" Type="http://schemas.openxmlformats.org/officeDocument/2006/relationships/hyperlink" Target="mailto:judy.wright@cherokeek12.net" TargetMode="External"/><Relationship Id="rId155" Type="http://schemas.openxmlformats.org/officeDocument/2006/relationships/hyperlink" Target="mailto:beth.coryell@cherokeek12.net" TargetMode="External"/><Relationship Id="rId156" Type="http://schemas.openxmlformats.org/officeDocument/2006/relationships/hyperlink" Target="mailto:carlie.young@cherokeek12.net" TargetMode="External"/><Relationship Id="rId157" Type="http://schemas.openxmlformats.org/officeDocument/2006/relationships/hyperlink" Target="mailto:stephanie.rutherford@cherokeek12.net" TargetMode="External"/><Relationship Id="rId158" Type="http://schemas.openxmlformats.org/officeDocument/2006/relationships/hyperlink" Target="mailto:edwin.rodriguez@cherokeek12.net" TargetMode="External"/><Relationship Id="rId159" Type="http://schemas.openxmlformats.org/officeDocument/2006/relationships/hyperlink" Target="mailto:chad.flatt@cherokeek12.net" TargetMode="External"/><Relationship Id="rId160" Type="http://schemas.openxmlformats.org/officeDocument/2006/relationships/hyperlink" Target="mailto:christy.l.bennett@cherokeek12.net" TargetMode="External"/><Relationship Id="rId161" Type="http://schemas.openxmlformats.org/officeDocument/2006/relationships/hyperlink" Target="mailto:heather.mitchell@cherokeek12.net" TargetMode="External"/><Relationship Id="rId162" Type="http://schemas.openxmlformats.org/officeDocument/2006/relationships/hyperlink" Target="mailto:samantha.daugherty@cherokeek12.net" TargetMode="External"/><Relationship Id="rId163" Type="http://schemas.openxmlformats.org/officeDocument/2006/relationships/hyperlink" Target="mailto:mark.markley@cherokeek12.net" TargetMode="External"/><Relationship Id="rId164" Type="http://schemas.openxmlformats.org/officeDocument/2006/relationships/hyperlink" Target="mailto:ryan.brumbelow@cherokeek12.net" TargetMode="External"/><Relationship Id="rId165" Type="http://schemas.openxmlformats.org/officeDocument/2006/relationships/hyperlink" Target="mailto:jason.meade@cherokeek12.net" TargetMode="External"/><Relationship Id="rId166" Type="http://schemas.openxmlformats.org/officeDocument/2006/relationships/hyperlink" Target="mailto:lynn.cooper@cherokeek12.net" TargetMode="External"/><Relationship Id="rId167" Type="http://schemas.openxmlformats.org/officeDocument/2006/relationships/hyperlink" Target="mailto:kathie.monti@cherokeek12.net" TargetMode="External"/><Relationship Id="rId168" Type="http://schemas.openxmlformats.org/officeDocument/2006/relationships/hyperlink" Target="mailto:kari.barbour@cherokeek12.net" TargetMode="External"/><Relationship Id="rId169" Type="http://schemas.openxmlformats.org/officeDocument/2006/relationships/hyperlink" Target="mailto:lesia.griffin@cherokeek12.net" TargetMode="External"/><Relationship Id="rId170" Type="http://schemas.openxmlformats.org/officeDocument/2006/relationships/hyperlink" Target="mailto:nicolette.abbott@cherokeek12.net" TargetMode="External"/><Relationship Id="rId171" Type="http://schemas.openxmlformats.org/officeDocument/2006/relationships/hyperlink" Target="mailto:genevieve.mcgarry@cherokeek12.net" TargetMode="External"/><Relationship Id="rId172" Type="http://schemas.openxmlformats.org/officeDocument/2006/relationships/hyperlink" Target="mailto:joi.marques@cherokeek12.net" TargetMode="External"/><Relationship Id="rId173" Type="http://schemas.openxmlformats.org/officeDocument/2006/relationships/hyperlink" Target="mailto:susan.stringfellow@cherokeek12.net" TargetMode="External"/><Relationship Id="rId174" Type="http://schemas.openxmlformats.org/officeDocument/2006/relationships/hyperlink" Target="mailto:elizabeth.spell@cherokeek12.net" TargetMode="External"/><Relationship Id="rId175" Type="http://schemas.openxmlformats.org/officeDocument/2006/relationships/hyperlink" Target="mailto:connor.covington@cherokeek12.net" TargetMode="External"/><Relationship Id="rId176" Type="http://schemas.openxmlformats.org/officeDocument/2006/relationships/hyperlink" Target="mailto:andrew.hall@cherokeek12.net" TargetMode="External"/><Relationship Id="rId177" Type="http://schemas.openxmlformats.org/officeDocument/2006/relationships/hyperlink" Target="mailto:connie.ard@cherokeek12.net" TargetMode="External"/><Relationship Id="rId178" Type="http://schemas.openxmlformats.org/officeDocument/2006/relationships/hyperlink" Target="mailto:beth.watkins@cherokeek12.net" TargetMode="External"/><Relationship Id="rId179" Type="http://schemas.openxmlformats.org/officeDocument/2006/relationships/hyperlink" Target="mailto:christian.kirby@cherokeek12.net" TargetMode="External"/><Relationship Id="rId180" Type="http://schemas.openxmlformats.org/officeDocument/2006/relationships/hyperlink" Target="mailto:terri.hancock@cherokeek12.net" TargetMode="External"/><Relationship Id="rId181" Type="http://schemas.openxmlformats.org/officeDocument/2006/relationships/hyperlink" Target="mailto:mark.vance@cherokeek12.net" TargetMode="External"/><Relationship Id="rId182" Type="http://schemas.openxmlformats.org/officeDocument/2006/relationships/hyperlink" Target="mailto:lisa.funderburk@cherokeek12.net" TargetMode="External"/><Relationship Id="rId183" Type="http://schemas.openxmlformats.org/officeDocument/2006/relationships/hyperlink" Target="mailto:nicholas.singleton@cherokeek12.net" TargetMode="External"/><Relationship Id="rId184" Type="http://schemas.openxmlformats.org/officeDocument/2006/relationships/hyperlink" Target="mailto:jeremy.andrews@cherokeek12.net" TargetMode="External"/><Relationship Id="rId185" Type="http://schemas.openxmlformats.org/officeDocument/2006/relationships/hyperlink" Target="mailto:lindsay.dean@cherokeek12.net" TargetMode="External"/><Relationship Id="rId186" Type="http://schemas.openxmlformats.org/officeDocument/2006/relationships/hyperlink" Target="mailto:ken.nix@cherokeek12.net" TargetMode="External"/><Relationship Id="rId187" Type="http://schemas.openxmlformats.org/officeDocument/2006/relationships/hyperlink" Target="mailto:john.murnan@cherokeek12.net" TargetMode="External"/><Relationship Id="rId188" Type="http://schemas.openxmlformats.org/officeDocument/2006/relationships/hyperlink" Target="mailto:brett.pinckard@cherokeek12.net" TargetMode="External"/><Relationship Id="rId189" Type="http://schemas.openxmlformats.org/officeDocument/2006/relationships/hyperlink" Target="mailto:janet.baggett@cherokeek12.net" TargetMode="External"/><Relationship Id="rId190" Type="http://schemas.openxmlformats.org/officeDocument/2006/relationships/hyperlink" Target="mailto:judi.haggerty@cherokeek12.net" TargetMode="External"/><Relationship Id="rId191" Type="http://schemas.openxmlformats.org/officeDocument/2006/relationships/hyperlink" Target="mailto:beckie.lee@cherokeek12.net" TargetMode="External"/><Relationship Id="rId192" Type="http://schemas.openxmlformats.org/officeDocument/2006/relationships/hyperlink" Target="mailto:justin.sanderson@cherokeek12.net" TargetMode="External"/><Relationship Id="rId193" Type="http://schemas.openxmlformats.org/officeDocument/2006/relationships/hyperlink" Target="mailto:stephanie.barber@cherokeek12.net" TargetMode="External"/><Relationship Id="rId194" Type="http://schemas.openxmlformats.org/officeDocument/2006/relationships/hyperlink" Target="mailto:pamela.costa@cherokeek12.net" TargetMode="External"/><Relationship Id="rId195" Type="http://schemas.openxmlformats.org/officeDocument/2006/relationships/hyperlink" Target="mailto:brandon.grummer@cherokeek12.net" TargetMode="External"/><Relationship Id="rId196" Type="http://schemas.openxmlformats.org/officeDocument/2006/relationships/hyperlink" Target="mailto:brenda.beebe@cherokeek12.net" TargetMode="External"/><Relationship Id="rId197" Type="http://schemas.openxmlformats.org/officeDocument/2006/relationships/hyperlink" Target="mailto:amanda.fuder@cherokeek12.net" TargetMode="External"/><Relationship Id="rId198" Type="http://schemas.openxmlformats.org/officeDocument/2006/relationships/hyperlink" Target="mailto:robert.vanalstyne@cherokeek12.net" TargetMode="External"/><Relationship Id="rId199" Type="http://schemas.openxmlformats.org/officeDocument/2006/relationships/hyperlink" Target="mailto:laura.kudlak@cherokeek12.net" TargetMode="External"/><Relationship Id="rId200" Type="http://schemas.openxmlformats.org/officeDocument/2006/relationships/hyperlink" Target="mailto:mark.drew@cherokeek12.net" TargetMode="External"/><Relationship Id="rId201" Type="http://schemas.openxmlformats.org/officeDocument/2006/relationships/hyperlink" Target="mailto:samuel.hunter@cherokeek12.net" TargetMode="External"/><Relationship Id="rId202" Type="http://schemas.openxmlformats.org/officeDocument/2006/relationships/hyperlink" Target="mailto:tim.pangonas@cherokeek12.net" TargetMode="External"/><Relationship Id="rId203" Type="http://schemas.openxmlformats.org/officeDocument/2006/relationships/hyperlink" Target="mailto:charley.ingham@cherokeek12.net" TargetMode="External"/><Relationship Id="rId204" Type="http://schemas.openxmlformats.org/officeDocument/2006/relationships/hyperlink" Target="mailto:brent.harris@cherokeek12.net" TargetMode="External"/><Relationship Id="rId205" Type="http://schemas.openxmlformats.org/officeDocument/2006/relationships/hyperlink" Target="mailto:adam.johnson@cherokeek12.net" TargetMode="External"/><Relationship Id="rId206" Type="http://schemas.openxmlformats.org/officeDocument/2006/relationships/hyperlink" Target="mailto:jenni.box@cherokeek12.net" TargetMode="External"/><Relationship Id="rId207" Type="http://schemas.openxmlformats.org/officeDocument/2006/relationships/hyperlink" Target="mailto:adam.johnson@cherokeek12.net" TargetMode="External"/><Relationship Id="rId208" Type="http://schemas.openxmlformats.org/officeDocument/2006/relationships/hyperlink" Target="mailto:jenni.box@cherokeek12.net" TargetMode="External"/><Relationship Id="rId209" Type="http://schemas.openxmlformats.org/officeDocument/2006/relationships/hyperlink" Target="mailto:f23748@forsyth.k12.ga.us" TargetMode="External"/><Relationship Id="rId210" Type="http://schemas.openxmlformats.org/officeDocument/2006/relationships/hyperlink" Target="mailto:rymendes@forsyth.k12.ga.us" TargetMode="External"/><Relationship Id="rId211" Type="http://schemas.openxmlformats.org/officeDocument/2006/relationships/hyperlink" Target="mailto:ksargent@forsyth.k12.ga.us" TargetMode="External"/><Relationship Id="rId212" Type="http://schemas.openxmlformats.org/officeDocument/2006/relationships/hyperlink" Target="mailto:mwest@forsyth.k12.ga.us" TargetMode="External"/><Relationship Id="rId213" Type="http://schemas.openxmlformats.org/officeDocument/2006/relationships/hyperlink" Target="mailto:dgrass@forsyth.k12.ga.us" TargetMode="External"/><Relationship Id="rId214" Type="http://schemas.openxmlformats.org/officeDocument/2006/relationships/hyperlink" Target="mailto:f43912@forsyth.k12.ga.us" TargetMode="External"/><Relationship Id="rId215" Type="http://schemas.openxmlformats.org/officeDocument/2006/relationships/hyperlink" Target="mailto:bjones@forsyth.k12.ga.us" TargetMode="External"/><Relationship Id="rId216" Type="http://schemas.openxmlformats.org/officeDocument/2006/relationships/hyperlink" Target="mailto:abusby@forsyth.k12.ga.us" TargetMode="External"/><Relationship Id="rId217" Type="http://schemas.openxmlformats.org/officeDocument/2006/relationships/hyperlink" Target="mailto:kjames@forsyth.k12.ga.us" TargetMode="External"/><Relationship Id="rId218" Type="http://schemas.openxmlformats.org/officeDocument/2006/relationships/hyperlink" Target="mailto:awhitfill@forsyth.k12.ga.us" TargetMode="External"/><Relationship Id="rId219" Type="http://schemas.openxmlformats.org/officeDocument/2006/relationships/hyperlink" Target="mailto:jdarcangelo@forsyth.k12.ga.us" TargetMode="External"/><Relationship Id="rId220" Type="http://schemas.openxmlformats.org/officeDocument/2006/relationships/hyperlink" Target="mailto:rhewitt@forsyth.k12.ga.us" TargetMode="External"/><Relationship Id="rId221" Type="http://schemas.openxmlformats.org/officeDocument/2006/relationships/hyperlink" Target="mailto:jchunn@forsyth.k12.ga.us" TargetMode="External"/><Relationship Id="rId222" Type="http://schemas.openxmlformats.org/officeDocument/2006/relationships/hyperlink" Target="mailto:mlesinski@forsyth.k12.ga.us" TargetMode="External"/><Relationship Id="rId223" Type="http://schemas.openxmlformats.org/officeDocument/2006/relationships/hyperlink" Target="mailto:tbrooks48@forsyth.k12.ga.us" TargetMode="External"/><Relationship Id="rId224" Type="http://schemas.openxmlformats.org/officeDocument/2006/relationships/hyperlink" Target="mailto:f18420@forsyth.k12.ga.us" TargetMode="External"/><Relationship Id="rId225" Type="http://schemas.openxmlformats.org/officeDocument/2006/relationships/hyperlink" Target="mailto:dhudson@forsyth.k12.ga.us" TargetMode="External"/><Relationship Id="rId226" Type="http://schemas.openxmlformats.org/officeDocument/2006/relationships/hyperlink" Target="mailto:aparker@forsyth.k12.ga.us" TargetMode="External"/><Relationship Id="rId227" Type="http://schemas.openxmlformats.org/officeDocument/2006/relationships/hyperlink" Target="mailto:f45351@forsyth.k12.ga.us" TargetMode="External"/><Relationship Id="rId228" Type="http://schemas.openxmlformats.org/officeDocument/2006/relationships/hyperlink" Target="mailto:f41376@forsyth.k12.ga.us" TargetMode="External"/><Relationship Id="rId229" Type="http://schemas.openxmlformats.org/officeDocument/2006/relationships/hyperlink" Target="mailto:f32322@forsyth.k12.ga.us" TargetMode="External"/><Relationship Id="rId230" Type="http://schemas.openxmlformats.org/officeDocument/2006/relationships/hyperlink" Target="mailto:f44770@forsyth.k12.ga.us" TargetMode="External"/><Relationship Id="rId231" Type="http://schemas.openxmlformats.org/officeDocument/2006/relationships/hyperlink" Target="mailto:f47276@forsyth.k12.ga.us" TargetMode="External"/><Relationship Id="rId232" Type="http://schemas.openxmlformats.org/officeDocument/2006/relationships/hyperlink" Target="mailto:ksapp77@forsyth.k12.ga.us" TargetMode="External"/><Relationship Id="rId233" Type="http://schemas.openxmlformats.org/officeDocument/2006/relationships/hyperlink" Target="mailto:mwoodley@forsyth.k12.ga.us" TargetMode="External"/><Relationship Id="rId234" Type="http://schemas.openxmlformats.org/officeDocument/2006/relationships/hyperlink" Target="mailto:egaines@forsyth.k12.ga.us" TargetMode="External"/><Relationship Id="rId235" Type="http://schemas.openxmlformats.org/officeDocument/2006/relationships/hyperlink" Target="mailto:mgarner@forsyth.k12.ga.us" TargetMode="External"/><Relationship Id="rId236" Type="http://schemas.openxmlformats.org/officeDocument/2006/relationships/hyperlink" Target="mailto:tcollins@forsyth.k12.ga.us" TargetMode="External"/><Relationship Id="rId237" Type="http://schemas.openxmlformats.org/officeDocument/2006/relationships/hyperlink" Target="mailto:declark@forsyth.k12.ga.us" TargetMode="External"/><Relationship Id="rId238" Type="http://schemas.openxmlformats.org/officeDocument/2006/relationships/hyperlink" Target="mailto:psaintjean@forsyth.k12.ga.us" TargetMode="External"/><Relationship Id="rId239" Type="http://schemas.openxmlformats.org/officeDocument/2006/relationships/hyperlink" Target="mailto:whowell5@forsyth.k12.ga.us" TargetMode="External"/><Relationship Id="rId240" Type="http://schemas.openxmlformats.org/officeDocument/2006/relationships/hyperlink" Target="mailto:csmith@forsyth.k12.ga.us" TargetMode="External"/><Relationship Id="rId241" Type="http://schemas.openxmlformats.org/officeDocument/2006/relationships/hyperlink" Target="mailto:jharden64@forsyth.k12.ga.us" TargetMode="External"/><Relationship Id="rId242" Type="http://schemas.openxmlformats.org/officeDocument/2006/relationships/hyperlink" Target="mailto:rhenson@forsyth.k12.ga.us" TargetMode="External"/><Relationship Id="rId243" Type="http://schemas.openxmlformats.org/officeDocument/2006/relationships/hyperlink" Target="mailto:lwaddell@forsyth.k12.ga.us" TargetMode="External"/><Relationship Id="rId244" Type="http://schemas.openxmlformats.org/officeDocument/2006/relationships/hyperlink" Target="mailto:cbrady@forsyth.k12.ga.us" TargetMode="External"/><Relationship Id="rId245" Type="http://schemas.openxmlformats.org/officeDocument/2006/relationships/hyperlink" Target="mailto:jgrasso@forsyth.k12.ga.us" TargetMode="External"/><Relationship Id="rId246" Type="http://schemas.openxmlformats.org/officeDocument/2006/relationships/hyperlink" Target="mailto:sruckert@forsyth.k12.ga.us" TargetMode="External"/><Relationship Id="rId247" Type="http://schemas.openxmlformats.org/officeDocument/2006/relationships/hyperlink" Target="mailto:tfarley@forsyth.k12.ga.us" TargetMode="External"/><Relationship Id="rId248" Type="http://schemas.openxmlformats.org/officeDocument/2006/relationships/hyperlink" Target="mailto:kiwhite@forsyth.k12.ga.us" TargetMode="External"/><Relationship Id="rId249" Type="http://schemas.openxmlformats.org/officeDocument/2006/relationships/hyperlink" Target="mailto:ahicks@forsyth.k12.ga.us" TargetMode="External"/><Relationship Id="rId250" Type="http://schemas.openxmlformats.org/officeDocument/2006/relationships/hyperlink" Target="mailto:cwoods@forsyth.k12.ga.us" TargetMode="External"/><Relationship Id="rId251" Type="http://schemas.openxmlformats.org/officeDocument/2006/relationships/hyperlink" Target="mailto:ltuck@forsyth.k12.ga.us" TargetMode="External"/><Relationship Id="rId252" Type="http://schemas.openxmlformats.org/officeDocument/2006/relationships/hyperlink" Target="mailto:mmarshall@forsyth.k12.ga.us" TargetMode="External"/><Relationship Id="rId253" Type="http://schemas.openxmlformats.org/officeDocument/2006/relationships/hyperlink" Target="mailto:cgodfree@forsyth.k12.ga.us" TargetMode="External"/><Relationship Id="rId254" Type="http://schemas.openxmlformats.org/officeDocument/2006/relationships/hyperlink" Target="mailto:dreid@forsyth.k12.ga.us" TargetMode="External"/><Relationship Id="rId255" Type="http://schemas.openxmlformats.org/officeDocument/2006/relationships/hyperlink" Target="mailto:aandrews3@forsyth.k12.ga.us" TargetMode="External"/><Relationship Id="rId256" Type="http://schemas.openxmlformats.org/officeDocument/2006/relationships/hyperlink" Target="mailto:tminiscalco@forsyth.k12.ga.us" TargetMode="External"/><Relationship Id="rId257" Type="http://schemas.openxmlformats.org/officeDocument/2006/relationships/hyperlink" Target="mailto:pdoyle@forsyth.k12.ga.us" TargetMode="External"/><Relationship Id="rId258" Type="http://schemas.openxmlformats.org/officeDocument/2006/relationships/hyperlink" Target="mailto:kedwards@forsyth.k12.ga.us" TargetMode="External"/><Relationship Id="rId259" Type="http://schemas.openxmlformats.org/officeDocument/2006/relationships/hyperlink" Target="mailto:cmallory@forsyth.k12.ga.us" TargetMode="External"/><Relationship Id="rId260" Type="http://schemas.openxmlformats.org/officeDocument/2006/relationships/hyperlink" Target="mailto:f41518@forsyth.k12.ga.us" TargetMode="External"/><Relationship Id="rId261" Type="http://schemas.openxmlformats.org/officeDocument/2006/relationships/hyperlink" Target="mailto:f39844@forsyth.k12.ga.us" TargetMode="External"/><Relationship Id="rId262" Type="http://schemas.openxmlformats.org/officeDocument/2006/relationships/hyperlink" Target="mailto:kmercer@forsyth.k12.ga.us" TargetMode="External"/><Relationship Id="rId263" Type="http://schemas.openxmlformats.org/officeDocument/2006/relationships/hyperlink" Target="mailto:jlillie@forsyth.k12.ga.us" TargetMode="External"/><Relationship Id="rId264" Type="http://schemas.openxmlformats.org/officeDocument/2006/relationships/hyperlink" Target="mailto:tojones@forsyth.k12.ga.us" TargetMode="External"/><Relationship Id="rId265" Type="http://schemas.openxmlformats.org/officeDocument/2006/relationships/hyperlink" Target="mailto:earnold78@forsyth.k12.ga.us" TargetMode="External"/><Relationship Id="rId266" Type="http://schemas.openxmlformats.org/officeDocument/2006/relationships/hyperlink" Target="mailto:pmathauer@forsyth.k12.ga.us" TargetMode="External"/><Relationship Id="rId267" Type="http://schemas.openxmlformats.org/officeDocument/2006/relationships/hyperlink" Target="mailto:koliver@forsyth.k12.ga.us" TargetMode="External"/><Relationship Id="rId268" Type="http://schemas.openxmlformats.org/officeDocument/2006/relationships/hyperlink" Target="mailto:scochran@forsyth.k12.ga.us" TargetMode="External"/><Relationship Id="rId269" Type="http://schemas.openxmlformats.org/officeDocument/2006/relationships/hyperlink" Target="mailto:pcoffield@forsyth.k12.ga.us" TargetMode="External"/><Relationship Id="rId270" Type="http://schemas.openxmlformats.org/officeDocument/2006/relationships/hyperlink" Target="mailto:cmathis@forsyth.k12.ga.us" TargetMode="External"/><Relationship Id="rId271" Type="http://schemas.openxmlformats.org/officeDocument/2006/relationships/hyperlink" Target="mailto:mlebeau77@forsyth.k12.ga.us" TargetMode="External"/><Relationship Id="rId272" Type="http://schemas.openxmlformats.org/officeDocument/2006/relationships/hyperlink" Target="mailto:kmartin@forsyth.k12.ga.us" TargetMode="External"/><Relationship Id="rId273" Type="http://schemas.openxmlformats.org/officeDocument/2006/relationships/hyperlink" Target="mailto:jdavies@forsyth.k12.ga.us" TargetMode="External"/><Relationship Id="rId274" Type="http://schemas.openxmlformats.org/officeDocument/2006/relationships/hyperlink" Target="mailto:dajohn@forsyth.k12.ga.us" TargetMode="External"/><Relationship Id="rId275" Type="http://schemas.openxmlformats.org/officeDocument/2006/relationships/hyperlink" Target="mailto:mhatfield@forsyth.k12.ga.us" TargetMode="External"/><Relationship Id="rId276" Type="http://schemas.openxmlformats.org/officeDocument/2006/relationships/hyperlink" Target="mailto:f46863@forsyth.k12.ga.us" TargetMode="External"/><Relationship Id="rId277" Type="http://schemas.openxmlformats.org/officeDocument/2006/relationships/hyperlink" Target="mailto:twinkler@forsyth.k12.ga.us" TargetMode="External"/><Relationship Id="rId278" Type="http://schemas.openxmlformats.org/officeDocument/2006/relationships/hyperlink" Target="mailto:apcarvell@forsyth.k12.ga.us" TargetMode="External"/><Relationship Id="rId279" Type="http://schemas.openxmlformats.org/officeDocument/2006/relationships/hyperlink" Target="mailto:f41395@forsyth.k12.ga.us" TargetMode="External"/><Relationship Id="rId280" Type="http://schemas.openxmlformats.org/officeDocument/2006/relationships/hyperlink" Target="mailto:f47253@forsyth.k12.ga.us" TargetMode="External"/><Relationship Id="rId281" Type="http://schemas.openxmlformats.org/officeDocument/2006/relationships/hyperlink" Target="mailto:jmsullivan@forsyth.k12.ga.us" TargetMode="External"/><Relationship Id="rId282" Type="http://schemas.openxmlformats.org/officeDocument/2006/relationships/hyperlink" Target="mailto:athrower@forsyth.k12.ga.us" TargetMode="External"/><Relationship Id="rId283" Type="http://schemas.openxmlformats.org/officeDocument/2006/relationships/hyperlink" Target="mailto:rhowell@forsyth.k12.ga.us" TargetMode="External"/><Relationship Id="rId284" Type="http://schemas.openxmlformats.org/officeDocument/2006/relationships/hyperlink" Target="mailto:mrsmith@forsyth.k12.ga.us" TargetMode="External"/><Relationship Id="rId285" Type="http://schemas.openxmlformats.org/officeDocument/2006/relationships/hyperlink" Target="mailto:jtomes@forsyth.k12.ga.us" TargetMode="External"/><Relationship Id="rId286" Type="http://schemas.openxmlformats.org/officeDocument/2006/relationships/hyperlink" Target="mailto:jcrummel@forsyth.k12.ga.us" TargetMode="External"/><Relationship Id="rId287" Type="http://schemas.openxmlformats.org/officeDocument/2006/relationships/hyperlink" Target="mailto:cmacallaster@forsyth.k12.ga.us" TargetMode="External"/><Relationship Id="rId288" Type="http://schemas.openxmlformats.org/officeDocument/2006/relationships/hyperlink" Target="mailto:ahurt@forsyth.k12.ga.us" TargetMode="External"/><Relationship Id="rId289" Type="http://schemas.openxmlformats.org/officeDocument/2006/relationships/hyperlink" Target="mailto:f30935@forsyth.k12.ga.us" TargetMode="External"/><Relationship Id="rId290" Type="http://schemas.openxmlformats.org/officeDocument/2006/relationships/hyperlink" Target="mailto:f38293@forsyth.k12.ga.us" TargetMode="External"/><Relationship Id="rId291" Type="http://schemas.openxmlformats.org/officeDocument/2006/relationships/hyperlink" Target="mailto:pbibik@forsyth.k12.ga.us" TargetMode="External"/><Relationship Id="rId292" Type="http://schemas.openxmlformats.org/officeDocument/2006/relationships/hyperlink" Target="mailto:kurbanovitch@forsyth.k12.ga.us" TargetMode="External"/><Relationship Id="rId293" Type="http://schemas.openxmlformats.org/officeDocument/2006/relationships/hyperlink" Target="mailto:f39354@forsyth.k12.ga.us" TargetMode="External"/><Relationship Id="rId294" Type="http://schemas.openxmlformats.org/officeDocument/2006/relationships/hyperlink" Target="mailto:jneuhaus@forsyth.k12.ga.us" TargetMode="External"/><Relationship Id="rId295" Type="http://schemas.openxmlformats.org/officeDocument/2006/relationships/hyperlink" Target="mailto:bfink@forsyth.k12.ga.us" TargetMode="External"/><Relationship Id="rId296" Type="http://schemas.openxmlformats.org/officeDocument/2006/relationships/hyperlink" Target="mailto:aarchambeau@forsyth.k12.ga.us" TargetMode="External"/><Relationship Id="rId297" Type="http://schemas.openxmlformats.org/officeDocument/2006/relationships/hyperlink" Target="mailto:mrparker@forsyth.k12.ga.us" TargetMode="External"/><Relationship Id="rId298" Type="http://schemas.openxmlformats.org/officeDocument/2006/relationships/hyperlink" Target="mailto:dhayes@forsyth.k12.ga.us" TargetMode="External"/><Relationship Id="rId299" Type="http://schemas.openxmlformats.org/officeDocument/2006/relationships/hyperlink" Target="mailto:asteele@forsyth.k12.ga.us" TargetMode="External"/><Relationship Id="rId300" Type="http://schemas.openxmlformats.org/officeDocument/2006/relationships/hyperlink" Target="mailto:gfreund@forsyth.k12.ga.us" TargetMode="External"/><Relationship Id="rId30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0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34"/>
    <col collapsed="false" customWidth="true" hidden="false" outlineLevel="0" max="3" min="3" style="0" width="14"/>
    <col collapsed="false" customWidth="true" hidden="false" outlineLevel="0" max="4" min="4" style="0" width="24"/>
    <col collapsed="false" customWidth="true" hidden="false" outlineLevel="0" max="5" min="5" style="0" width="36"/>
    <col collapsed="false" customWidth="true" hidden="false" outlineLevel="0" max="6" min="6" style="0" width="30"/>
    <col collapsed="false" customWidth="true" hidden="false" outlineLevel="0" max="7" min="7" style="0" width="36"/>
    <col collapsed="false" customWidth="true" hidden="false" outlineLevel="0" max="8" min="8" style="0" width="30"/>
    <col collapsed="false" customWidth="true" hidden="false" outlineLevel="0" max="9" min="9" style="0" width="48"/>
    <col collapsed="false" customWidth="true" hidden="false" outlineLevel="0" max="10" min="10" style="0" width="36"/>
    <col collapsed="false" customWidth="true" hidden="false" outlineLevel="0" max="11" min="11" style="0" width="12"/>
    <col collapsed="false" customWidth="true" hidden="false" outlineLevel="0" max="12" min="12" style="0" width="70"/>
  </cols>
  <sheetData>
    <row r="1" customFormat="false" ht="31.5" hidden="false" customHeight="true" outlineLevel="0" collapsed="false">
      <c r="A1" s="1" t="s">
        <v>0</v>
      </c>
      <c r="B1" s="1" t="s">
        <v>1</v>
      </c>
      <c r="C1" s="1" t="s">
        <v>2</v>
      </c>
      <c r="D1" s="1" t="s">
        <v>3</v>
      </c>
      <c r="E1" s="1" t="s">
        <v>4</v>
      </c>
      <c r="F1" s="1" t="s">
        <v>5</v>
      </c>
      <c r="G1" s="1" t="s">
        <v>6</v>
      </c>
      <c r="H1" s="1" t="s">
        <v>7</v>
      </c>
      <c r="I1" s="1" t="s">
        <v>8</v>
      </c>
      <c r="J1" s="1" t="s">
        <v>9</v>
      </c>
      <c r="K1" s="1" t="s">
        <v>10</v>
      </c>
      <c r="L1" s="1" t="s">
        <v>11</v>
      </c>
    </row>
    <row r="2" customFormat="false" ht="23.85" hidden="false" customHeight="false" outlineLevel="0" collapsed="false">
      <c r="A2" s="2" t="s">
        <v>12</v>
      </c>
      <c r="B2" s="2" t="s">
        <v>13</v>
      </c>
      <c r="C2" s="2" t="s">
        <v>14</v>
      </c>
      <c r="D2" s="2" t="s">
        <v>15</v>
      </c>
      <c r="E2" s="3" t="s">
        <v>16</v>
      </c>
      <c r="F2" s="3" t="s">
        <v>17</v>
      </c>
      <c r="G2" s="4" t="s">
        <v>18</v>
      </c>
      <c r="H2" s="3" t="s">
        <v>19</v>
      </c>
      <c r="I2" s="2" t="s">
        <v>20</v>
      </c>
      <c r="J2" s="2" t="s">
        <v>21</v>
      </c>
      <c r="K2" s="5" t="s">
        <v>22</v>
      </c>
      <c r="L2" s="3"/>
    </row>
    <row r="3" customFormat="false" ht="23.85" hidden="false" customHeight="false" outlineLevel="0" collapsed="false">
      <c r="A3" s="2" t="s">
        <v>12</v>
      </c>
      <c r="B3" s="2" t="s">
        <v>13</v>
      </c>
      <c r="C3" s="2" t="s">
        <v>14</v>
      </c>
      <c r="D3" s="2" t="s">
        <v>23</v>
      </c>
      <c r="E3" s="3" t="s">
        <v>24</v>
      </c>
      <c r="F3" s="3" t="s">
        <v>25</v>
      </c>
      <c r="G3" s="4" t="s">
        <v>26</v>
      </c>
      <c r="H3" s="3" t="s">
        <v>19</v>
      </c>
      <c r="I3" s="2" t="s">
        <v>20</v>
      </c>
      <c r="J3" s="2" t="s">
        <v>21</v>
      </c>
      <c r="K3" s="5" t="s">
        <v>22</v>
      </c>
      <c r="L3" s="3"/>
    </row>
    <row r="4" customFormat="false" ht="23.85" hidden="false" customHeight="false" outlineLevel="0" collapsed="false">
      <c r="A4" s="2" t="s">
        <v>12</v>
      </c>
      <c r="B4" s="2" t="s">
        <v>13</v>
      </c>
      <c r="C4" s="2" t="s">
        <v>14</v>
      </c>
      <c r="D4" s="2" t="s">
        <v>27</v>
      </c>
      <c r="E4" s="3" t="s">
        <v>28</v>
      </c>
      <c r="F4" s="3" t="s">
        <v>25</v>
      </c>
      <c r="G4" s="4" t="s">
        <v>29</v>
      </c>
      <c r="H4" s="3" t="s">
        <v>19</v>
      </c>
      <c r="I4" s="2" t="s">
        <v>20</v>
      </c>
      <c r="J4" s="2" t="s">
        <v>21</v>
      </c>
      <c r="K4" s="6" t="s">
        <v>30</v>
      </c>
      <c r="L4" s="3"/>
    </row>
    <row r="5" customFormat="false" ht="23.85" hidden="false" customHeight="false" outlineLevel="0" collapsed="false">
      <c r="A5" s="2" t="s">
        <v>12</v>
      </c>
      <c r="B5" s="2" t="s">
        <v>13</v>
      </c>
      <c r="C5" s="2" t="s">
        <v>14</v>
      </c>
      <c r="D5" s="2" t="s">
        <v>31</v>
      </c>
      <c r="E5" s="3" t="s">
        <v>28</v>
      </c>
      <c r="F5" s="3" t="s">
        <v>25</v>
      </c>
      <c r="G5" s="4" t="s">
        <v>32</v>
      </c>
      <c r="H5" s="3" t="s">
        <v>19</v>
      </c>
      <c r="I5" s="2" t="s">
        <v>20</v>
      </c>
      <c r="J5" s="2" t="s">
        <v>21</v>
      </c>
      <c r="K5" s="6" t="s">
        <v>30</v>
      </c>
      <c r="L5" s="3"/>
    </row>
    <row r="6" customFormat="false" ht="23.85" hidden="false" customHeight="false" outlineLevel="0" collapsed="false">
      <c r="A6" s="2" t="s">
        <v>12</v>
      </c>
      <c r="B6" s="2" t="s">
        <v>13</v>
      </c>
      <c r="C6" s="2" t="s">
        <v>14</v>
      </c>
      <c r="D6" s="2" t="s">
        <v>33</v>
      </c>
      <c r="E6" s="3" t="s">
        <v>34</v>
      </c>
      <c r="F6" s="3" t="s">
        <v>35</v>
      </c>
      <c r="G6" s="4" t="s">
        <v>36</v>
      </c>
      <c r="H6" s="3" t="s">
        <v>19</v>
      </c>
      <c r="I6" s="2" t="s">
        <v>20</v>
      </c>
      <c r="J6" s="2" t="s">
        <v>21</v>
      </c>
      <c r="K6" s="7" t="s">
        <v>37</v>
      </c>
      <c r="L6" s="3"/>
    </row>
    <row r="7" customFormat="false" ht="23.85" hidden="false" customHeight="false" outlineLevel="0" collapsed="false">
      <c r="A7" s="2" t="s">
        <v>12</v>
      </c>
      <c r="B7" s="2" t="s">
        <v>38</v>
      </c>
      <c r="C7" s="2" t="s">
        <v>14</v>
      </c>
      <c r="D7" s="2" t="s">
        <v>39</v>
      </c>
      <c r="E7" s="3" t="s">
        <v>16</v>
      </c>
      <c r="F7" s="3" t="s">
        <v>17</v>
      </c>
      <c r="G7" s="4" t="s">
        <v>40</v>
      </c>
      <c r="H7" s="3" t="s">
        <v>19</v>
      </c>
      <c r="I7" s="2" t="s">
        <v>41</v>
      </c>
      <c r="J7" s="2" t="s">
        <v>42</v>
      </c>
      <c r="K7" s="5" t="s">
        <v>22</v>
      </c>
      <c r="L7" s="3" t="s">
        <v>43</v>
      </c>
    </row>
    <row r="8" customFormat="false" ht="23.85" hidden="false" customHeight="false" outlineLevel="0" collapsed="false">
      <c r="A8" s="2" t="s">
        <v>12</v>
      </c>
      <c r="B8" s="2" t="s">
        <v>38</v>
      </c>
      <c r="C8" s="2" t="s">
        <v>14</v>
      </c>
      <c r="D8" s="2" t="s">
        <v>44</v>
      </c>
      <c r="E8" s="3" t="s">
        <v>24</v>
      </c>
      <c r="F8" s="3" t="s">
        <v>25</v>
      </c>
      <c r="G8" s="4" t="s">
        <v>45</v>
      </c>
      <c r="H8" s="3" t="s">
        <v>19</v>
      </c>
      <c r="I8" s="2" t="s">
        <v>46</v>
      </c>
      <c r="J8" s="2" t="s">
        <v>42</v>
      </c>
      <c r="K8" s="5" t="s">
        <v>22</v>
      </c>
      <c r="L8" s="3"/>
    </row>
    <row r="9" customFormat="false" ht="23.85" hidden="false" customHeight="false" outlineLevel="0" collapsed="false">
      <c r="A9" s="2" t="s">
        <v>12</v>
      </c>
      <c r="B9" s="2" t="s">
        <v>38</v>
      </c>
      <c r="C9" s="2" t="s">
        <v>14</v>
      </c>
      <c r="D9" s="2" t="s">
        <v>47</v>
      </c>
      <c r="E9" s="3" t="s">
        <v>28</v>
      </c>
      <c r="F9" s="3" t="s">
        <v>25</v>
      </c>
      <c r="G9" s="4" t="s">
        <v>48</v>
      </c>
      <c r="H9" s="3" t="s">
        <v>19</v>
      </c>
      <c r="I9" s="2" t="s">
        <v>46</v>
      </c>
      <c r="J9" s="2" t="s">
        <v>42</v>
      </c>
      <c r="K9" s="6" t="s">
        <v>30</v>
      </c>
      <c r="L9" s="3"/>
    </row>
    <row r="10" customFormat="false" ht="23.85" hidden="false" customHeight="false" outlineLevel="0" collapsed="false">
      <c r="A10" s="2" t="s">
        <v>12</v>
      </c>
      <c r="B10" s="2" t="s">
        <v>38</v>
      </c>
      <c r="C10" s="2" t="s">
        <v>14</v>
      </c>
      <c r="D10" s="2" t="s">
        <v>49</v>
      </c>
      <c r="E10" s="3" t="s">
        <v>28</v>
      </c>
      <c r="F10" s="3" t="s">
        <v>25</v>
      </c>
      <c r="G10" s="4" t="s">
        <v>50</v>
      </c>
      <c r="H10" s="3" t="s">
        <v>19</v>
      </c>
      <c r="I10" s="2" t="s">
        <v>46</v>
      </c>
      <c r="J10" s="2" t="s">
        <v>42</v>
      </c>
      <c r="K10" s="6" t="s">
        <v>30</v>
      </c>
      <c r="L10" s="3"/>
    </row>
    <row r="11" customFormat="false" ht="23.85" hidden="false" customHeight="false" outlineLevel="0" collapsed="false">
      <c r="A11" s="2" t="s">
        <v>12</v>
      </c>
      <c r="B11" s="2" t="s">
        <v>38</v>
      </c>
      <c r="C11" s="2" t="s">
        <v>14</v>
      </c>
      <c r="D11" s="2" t="s">
        <v>51</v>
      </c>
      <c r="E11" s="3" t="s">
        <v>52</v>
      </c>
      <c r="F11" s="3" t="s">
        <v>35</v>
      </c>
      <c r="G11" s="4" t="s">
        <v>53</v>
      </c>
      <c r="H11" s="3" t="s">
        <v>19</v>
      </c>
      <c r="I11" s="2" t="s">
        <v>46</v>
      </c>
      <c r="J11" s="2" t="s">
        <v>42</v>
      </c>
      <c r="K11" s="7" t="s">
        <v>37</v>
      </c>
      <c r="L11" s="3"/>
    </row>
    <row r="12" customFormat="false" ht="23.85" hidden="false" customHeight="false" outlineLevel="0" collapsed="false">
      <c r="A12" s="2" t="s">
        <v>12</v>
      </c>
      <c r="B12" s="2" t="s">
        <v>54</v>
      </c>
      <c r="C12" s="2" t="s">
        <v>14</v>
      </c>
      <c r="D12" s="2" t="s">
        <v>55</v>
      </c>
      <c r="E12" s="3" t="s">
        <v>16</v>
      </c>
      <c r="F12" s="3" t="s">
        <v>17</v>
      </c>
      <c r="G12" s="4" t="s">
        <v>56</v>
      </c>
      <c r="H12" s="3" t="s">
        <v>19</v>
      </c>
      <c r="I12" s="2" t="s">
        <v>57</v>
      </c>
      <c r="J12" s="2" t="s">
        <v>58</v>
      </c>
      <c r="K12" s="5" t="s">
        <v>22</v>
      </c>
      <c r="L12" s="3"/>
    </row>
    <row r="13" customFormat="false" ht="23.85" hidden="false" customHeight="false" outlineLevel="0" collapsed="false">
      <c r="A13" s="2" t="s">
        <v>12</v>
      </c>
      <c r="B13" s="2" t="s">
        <v>54</v>
      </c>
      <c r="C13" s="2" t="s">
        <v>14</v>
      </c>
      <c r="D13" s="2" t="s">
        <v>59</v>
      </c>
      <c r="E13" s="3" t="s">
        <v>16</v>
      </c>
      <c r="F13" s="3" t="s">
        <v>17</v>
      </c>
      <c r="G13" s="4" t="s">
        <v>60</v>
      </c>
      <c r="H13" s="3" t="s">
        <v>19</v>
      </c>
      <c r="I13" s="2" t="s">
        <v>57</v>
      </c>
      <c r="J13" s="2" t="s">
        <v>58</v>
      </c>
      <c r="K13" s="5" t="s">
        <v>22</v>
      </c>
      <c r="L13" s="3"/>
    </row>
    <row r="14" customFormat="false" ht="23.85" hidden="false" customHeight="false" outlineLevel="0" collapsed="false">
      <c r="A14" s="2" t="s">
        <v>12</v>
      </c>
      <c r="B14" s="2" t="s">
        <v>54</v>
      </c>
      <c r="C14" s="2" t="s">
        <v>14</v>
      </c>
      <c r="D14" s="2" t="s">
        <v>61</v>
      </c>
      <c r="E14" s="3" t="s">
        <v>24</v>
      </c>
      <c r="F14" s="3" t="s">
        <v>25</v>
      </c>
      <c r="G14" s="4" t="s">
        <v>62</v>
      </c>
      <c r="H14" s="3" t="s">
        <v>19</v>
      </c>
      <c r="I14" s="2" t="s">
        <v>57</v>
      </c>
      <c r="J14" s="2" t="s">
        <v>58</v>
      </c>
      <c r="K14" s="5" t="s">
        <v>22</v>
      </c>
      <c r="L14" s="3"/>
    </row>
    <row r="15" customFormat="false" ht="23.85" hidden="false" customHeight="false" outlineLevel="0" collapsed="false">
      <c r="A15" s="2" t="s">
        <v>12</v>
      </c>
      <c r="B15" s="2" t="s">
        <v>54</v>
      </c>
      <c r="C15" s="2" t="s">
        <v>14</v>
      </c>
      <c r="D15" s="2" t="s">
        <v>63</v>
      </c>
      <c r="E15" s="3" t="s">
        <v>64</v>
      </c>
      <c r="F15" s="3" t="s">
        <v>65</v>
      </c>
      <c r="G15" s="4" t="s">
        <v>66</v>
      </c>
      <c r="H15" s="3" t="s">
        <v>19</v>
      </c>
      <c r="I15" s="2" t="s">
        <v>57</v>
      </c>
      <c r="J15" s="2" t="s">
        <v>58</v>
      </c>
      <c r="K15" s="5" t="s">
        <v>22</v>
      </c>
      <c r="L15" s="3" t="s">
        <v>67</v>
      </c>
    </row>
    <row r="16" customFormat="false" ht="23.85" hidden="false" customHeight="false" outlineLevel="0" collapsed="false">
      <c r="A16" s="2" t="s">
        <v>12</v>
      </c>
      <c r="B16" s="2" t="s">
        <v>54</v>
      </c>
      <c r="C16" s="2" t="s">
        <v>14</v>
      </c>
      <c r="D16" s="2" t="s">
        <v>68</v>
      </c>
      <c r="E16" s="3" t="s">
        <v>34</v>
      </c>
      <c r="F16" s="3" t="s">
        <v>35</v>
      </c>
      <c r="G16" s="4" t="s">
        <v>69</v>
      </c>
      <c r="H16" s="3" t="s">
        <v>19</v>
      </c>
      <c r="I16" s="2" t="s">
        <v>57</v>
      </c>
      <c r="J16" s="2" t="s">
        <v>58</v>
      </c>
      <c r="K16" s="7" t="s">
        <v>37</v>
      </c>
      <c r="L16" s="3"/>
    </row>
    <row r="17" customFormat="false" ht="35.05" hidden="false" customHeight="false" outlineLevel="0" collapsed="false">
      <c r="A17" s="2" t="s">
        <v>12</v>
      </c>
      <c r="B17" s="2" t="s">
        <v>70</v>
      </c>
      <c r="C17" s="2" t="s">
        <v>14</v>
      </c>
      <c r="D17" s="2" t="s">
        <v>71</v>
      </c>
      <c r="E17" s="3" t="s">
        <v>72</v>
      </c>
      <c r="F17" s="3" t="s">
        <v>73</v>
      </c>
      <c r="G17" s="4" t="s">
        <v>74</v>
      </c>
      <c r="H17" s="3" t="s">
        <v>19</v>
      </c>
      <c r="I17" s="2" t="s">
        <v>75</v>
      </c>
      <c r="J17" s="2" t="s">
        <v>76</v>
      </c>
      <c r="K17" s="5" t="s">
        <v>22</v>
      </c>
      <c r="L17" s="3" t="s">
        <v>77</v>
      </c>
    </row>
    <row r="18" customFormat="false" ht="23.85" hidden="false" customHeight="false" outlineLevel="0" collapsed="false">
      <c r="A18" s="2" t="s">
        <v>12</v>
      </c>
      <c r="B18" s="2" t="s">
        <v>70</v>
      </c>
      <c r="C18" s="2" t="s">
        <v>14</v>
      </c>
      <c r="D18" s="2" t="s">
        <v>78</v>
      </c>
      <c r="E18" s="3" t="s">
        <v>16</v>
      </c>
      <c r="F18" s="3" t="s">
        <v>17</v>
      </c>
      <c r="G18" s="4" t="s">
        <v>79</v>
      </c>
      <c r="H18" s="3" t="s">
        <v>19</v>
      </c>
      <c r="I18" s="2" t="s">
        <v>75</v>
      </c>
      <c r="J18" s="2" t="s">
        <v>76</v>
      </c>
      <c r="K18" s="5" t="s">
        <v>22</v>
      </c>
      <c r="L18" s="3"/>
    </row>
    <row r="19" customFormat="false" ht="23.85" hidden="false" customHeight="false" outlineLevel="0" collapsed="false">
      <c r="A19" s="2" t="s">
        <v>12</v>
      </c>
      <c r="B19" s="2" t="s">
        <v>70</v>
      </c>
      <c r="C19" s="2" t="s">
        <v>14</v>
      </c>
      <c r="D19" s="2" t="s">
        <v>80</v>
      </c>
      <c r="E19" s="3" t="s">
        <v>24</v>
      </c>
      <c r="F19" s="3" t="s">
        <v>25</v>
      </c>
      <c r="G19" s="4" t="s">
        <v>81</v>
      </c>
      <c r="H19" s="3" t="s">
        <v>19</v>
      </c>
      <c r="I19" s="2" t="s">
        <v>75</v>
      </c>
      <c r="J19" s="2" t="s">
        <v>76</v>
      </c>
      <c r="K19" s="5" t="s">
        <v>22</v>
      </c>
      <c r="L19" s="3" t="s">
        <v>82</v>
      </c>
    </row>
    <row r="20" customFormat="false" ht="23.85" hidden="false" customHeight="false" outlineLevel="0" collapsed="false">
      <c r="A20" s="2" t="s">
        <v>12</v>
      </c>
      <c r="B20" s="2" t="s">
        <v>70</v>
      </c>
      <c r="C20" s="2" t="s">
        <v>14</v>
      </c>
      <c r="D20" s="2" t="s">
        <v>83</v>
      </c>
      <c r="E20" s="3" t="s">
        <v>28</v>
      </c>
      <c r="F20" s="3" t="s">
        <v>25</v>
      </c>
      <c r="G20" s="4" t="s">
        <v>84</v>
      </c>
      <c r="H20" s="3" t="s">
        <v>19</v>
      </c>
      <c r="I20" s="2" t="s">
        <v>75</v>
      </c>
      <c r="J20" s="2" t="s">
        <v>76</v>
      </c>
      <c r="K20" s="6" t="s">
        <v>30</v>
      </c>
      <c r="L20" s="3"/>
    </row>
    <row r="21" customFormat="false" ht="23.85" hidden="false" customHeight="false" outlineLevel="0" collapsed="false">
      <c r="A21" s="2" t="s">
        <v>12</v>
      </c>
      <c r="B21" s="2" t="s">
        <v>70</v>
      </c>
      <c r="C21" s="2" t="s">
        <v>14</v>
      </c>
      <c r="D21" s="2" t="s">
        <v>85</v>
      </c>
      <c r="E21" s="3" t="s">
        <v>34</v>
      </c>
      <c r="F21" s="3" t="s">
        <v>35</v>
      </c>
      <c r="G21" s="4" t="s">
        <v>86</v>
      </c>
      <c r="H21" s="3" t="s">
        <v>19</v>
      </c>
      <c r="I21" s="2" t="s">
        <v>75</v>
      </c>
      <c r="J21" s="2" t="s">
        <v>76</v>
      </c>
      <c r="K21" s="7" t="s">
        <v>37</v>
      </c>
      <c r="L21" s="3"/>
    </row>
    <row r="22" customFormat="false" ht="23.85" hidden="false" customHeight="false" outlineLevel="0" collapsed="false">
      <c r="A22" s="2" t="s">
        <v>12</v>
      </c>
      <c r="B22" s="2" t="s">
        <v>87</v>
      </c>
      <c r="C22" s="2" t="s">
        <v>14</v>
      </c>
      <c r="D22" s="2" t="s">
        <v>88</v>
      </c>
      <c r="E22" s="3" t="s">
        <v>89</v>
      </c>
      <c r="F22" s="3" t="s">
        <v>90</v>
      </c>
      <c r="G22" s="4" t="s">
        <v>91</v>
      </c>
      <c r="H22" s="3" t="s">
        <v>92</v>
      </c>
      <c r="I22" s="2" t="s">
        <v>93</v>
      </c>
      <c r="J22" s="2" t="s">
        <v>94</v>
      </c>
      <c r="K22" s="5" t="s">
        <v>22</v>
      </c>
      <c r="L22" s="3" t="s">
        <v>95</v>
      </c>
    </row>
    <row r="23" customFormat="false" ht="23.85" hidden="false" customHeight="false" outlineLevel="0" collapsed="false">
      <c r="A23" s="2" t="s">
        <v>12</v>
      </c>
      <c r="B23" s="2" t="s">
        <v>87</v>
      </c>
      <c r="C23" s="2" t="s">
        <v>14</v>
      </c>
      <c r="D23" s="2" t="s">
        <v>96</v>
      </c>
      <c r="E23" s="3" t="s">
        <v>97</v>
      </c>
      <c r="F23" s="3" t="s">
        <v>98</v>
      </c>
      <c r="G23" s="4" t="s">
        <v>99</v>
      </c>
      <c r="H23" s="3" t="s">
        <v>19</v>
      </c>
      <c r="I23" s="2" t="s">
        <v>100</v>
      </c>
      <c r="J23" s="2" t="s">
        <v>94</v>
      </c>
      <c r="K23" s="5" t="s">
        <v>22</v>
      </c>
      <c r="L23" s="3"/>
    </row>
    <row r="24" customFormat="false" ht="23.85" hidden="false" customHeight="false" outlineLevel="0" collapsed="false">
      <c r="A24" s="2" t="s">
        <v>12</v>
      </c>
      <c r="B24" s="2" t="s">
        <v>87</v>
      </c>
      <c r="C24" s="2" t="s">
        <v>14</v>
      </c>
      <c r="D24" s="2" t="s">
        <v>101</v>
      </c>
      <c r="E24" s="3" t="s">
        <v>102</v>
      </c>
      <c r="F24" s="3" t="s">
        <v>103</v>
      </c>
      <c r="G24" s="4" t="s">
        <v>104</v>
      </c>
      <c r="H24" s="3" t="s">
        <v>19</v>
      </c>
      <c r="I24" s="2" t="s">
        <v>100</v>
      </c>
      <c r="J24" s="2" t="s">
        <v>94</v>
      </c>
      <c r="K24" s="5" t="s">
        <v>22</v>
      </c>
      <c r="L24" s="3"/>
    </row>
    <row r="25" customFormat="false" ht="23.85" hidden="false" customHeight="false" outlineLevel="0" collapsed="false">
      <c r="A25" s="2" t="s">
        <v>12</v>
      </c>
      <c r="B25" s="2" t="s">
        <v>87</v>
      </c>
      <c r="C25" s="2" t="s">
        <v>14</v>
      </c>
      <c r="D25" s="2" t="s">
        <v>105</v>
      </c>
      <c r="E25" s="3" t="s">
        <v>24</v>
      </c>
      <c r="F25" s="3" t="s">
        <v>25</v>
      </c>
      <c r="G25" s="4" t="s">
        <v>106</v>
      </c>
      <c r="H25" s="3" t="s">
        <v>19</v>
      </c>
      <c r="I25" s="2" t="s">
        <v>100</v>
      </c>
      <c r="J25" s="2" t="s">
        <v>94</v>
      </c>
      <c r="K25" s="5" t="s">
        <v>22</v>
      </c>
      <c r="L25" s="3"/>
    </row>
    <row r="26" customFormat="false" ht="23.85" hidden="false" customHeight="false" outlineLevel="0" collapsed="false">
      <c r="A26" s="2" t="s">
        <v>12</v>
      </c>
      <c r="B26" s="2" t="s">
        <v>87</v>
      </c>
      <c r="C26" s="2" t="s">
        <v>14</v>
      </c>
      <c r="D26" s="2" t="s">
        <v>107</v>
      </c>
      <c r="E26" s="3" t="s">
        <v>34</v>
      </c>
      <c r="F26" s="3" t="s">
        <v>35</v>
      </c>
      <c r="G26" s="4" t="s">
        <v>108</v>
      </c>
      <c r="H26" s="3" t="s">
        <v>19</v>
      </c>
      <c r="I26" s="2" t="s">
        <v>100</v>
      </c>
      <c r="J26" s="2" t="s">
        <v>94</v>
      </c>
      <c r="K26" s="7" t="s">
        <v>37</v>
      </c>
      <c r="L26" s="3"/>
    </row>
    <row r="27" customFormat="false" ht="23.85" hidden="false" customHeight="false" outlineLevel="0" collapsed="false">
      <c r="A27" s="2" t="s">
        <v>12</v>
      </c>
      <c r="B27" s="2" t="s">
        <v>109</v>
      </c>
      <c r="C27" s="2" t="s">
        <v>14</v>
      </c>
      <c r="D27" s="2" t="s">
        <v>110</v>
      </c>
      <c r="E27" s="3" t="s">
        <v>64</v>
      </c>
      <c r="F27" s="3" t="s">
        <v>65</v>
      </c>
      <c r="G27" s="4" t="s">
        <v>111</v>
      </c>
      <c r="H27" s="3" t="s">
        <v>19</v>
      </c>
      <c r="I27" s="2" t="s">
        <v>112</v>
      </c>
      <c r="J27" s="2" t="s">
        <v>113</v>
      </c>
      <c r="K27" s="5" t="s">
        <v>22</v>
      </c>
      <c r="L27" s="3"/>
    </row>
    <row r="28" customFormat="false" ht="23.85" hidden="false" customHeight="false" outlineLevel="0" collapsed="false">
      <c r="A28" s="2" t="s">
        <v>12</v>
      </c>
      <c r="B28" s="2" t="s">
        <v>109</v>
      </c>
      <c r="C28" s="2" t="s">
        <v>14</v>
      </c>
      <c r="D28" s="2" t="s">
        <v>114</v>
      </c>
      <c r="E28" s="3" t="s">
        <v>16</v>
      </c>
      <c r="F28" s="3" t="s">
        <v>17</v>
      </c>
      <c r="G28" s="4" t="s">
        <v>115</v>
      </c>
      <c r="H28" s="3" t="s">
        <v>19</v>
      </c>
      <c r="I28" s="2" t="s">
        <v>112</v>
      </c>
      <c r="J28" s="2" t="s">
        <v>113</v>
      </c>
      <c r="K28" s="5" t="s">
        <v>22</v>
      </c>
      <c r="L28" s="3"/>
    </row>
    <row r="29" customFormat="false" ht="23.85" hidden="false" customHeight="false" outlineLevel="0" collapsed="false">
      <c r="A29" s="2" t="s">
        <v>12</v>
      </c>
      <c r="B29" s="2" t="s">
        <v>109</v>
      </c>
      <c r="C29" s="2" t="s">
        <v>14</v>
      </c>
      <c r="D29" s="2" t="s">
        <v>116</v>
      </c>
      <c r="E29" s="3" t="s">
        <v>24</v>
      </c>
      <c r="F29" s="3" t="s">
        <v>25</v>
      </c>
      <c r="G29" s="4" t="s">
        <v>117</v>
      </c>
      <c r="H29" s="3" t="s">
        <v>19</v>
      </c>
      <c r="I29" s="2" t="s">
        <v>112</v>
      </c>
      <c r="J29" s="2" t="s">
        <v>113</v>
      </c>
      <c r="K29" s="5" t="s">
        <v>22</v>
      </c>
      <c r="L29" s="3"/>
    </row>
    <row r="30" customFormat="false" ht="23.85" hidden="false" customHeight="false" outlineLevel="0" collapsed="false">
      <c r="A30" s="2" t="s">
        <v>12</v>
      </c>
      <c r="B30" s="2" t="s">
        <v>109</v>
      </c>
      <c r="C30" s="2" t="s">
        <v>14</v>
      </c>
      <c r="D30" s="2" t="s">
        <v>118</v>
      </c>
      <c r="E30" s="3" t="s">
        <v>119</v>
      </c>
      <c r="F30" s="3" t="s">
        <v>35</v>
      </c>
      <c r="G30" s="4" t="s">
        <v>120</v>
      </c>
      <c r="H30" s="3" t="s">
        <v>19</v>
      </c>
      <c r="I30" s="2" t="s">
        <v>112</v>
      </c>
      <c r="J30" s="2" t="s">
        <v>113</v>
      </c>
      <c r="K30" s="6" t="s">
        <v>30</v>
      </c>
      <c r="L30" s="3"/>
    </row>
    <row r="31" customFormat="false" ht="23.85" hidden="false" customHeight="false" outlineLevel="0" collapsed="false">
      <c r="A31" s="2" t="s">
        <v>12</v>
      </c>
      <c r="B31" s="2" t="s">
        <v>109</v>
      </c>
      <c r="C31" s="2" t="s">
        <v>14</v>
      </c>
      <c r="D31" s="2" t="s">
        <v>121</v>
      </c>
      <c r="E31" s="3" t="s">
        <v>28</v>
      </c>
      <c r="F31" s="3" t="s">
        <v>25</v>
      </c>
      <c r="G31" s="4" t="s">
        <v>122</v>
      </c>
      <c r="H31" s="3" t="s">
        <v>19</v>
      </c>
      <c r="I31" s="2" t="s">
        <v>112</v>
      </c>
      <c r="J31" s="2" t="s">
        <v>113</v>
      </c>
      <c r="K31" s="6" t="s">
        <v>30</v>
      </c>
      <c r="L31" s="3"/>
    </row>
    <row r="32" customFormat="false" ht="23.85" hidden="false" customHeight="false" outlineLevel="0" collapsed="false">
      <c r="A32" s="2" t="s">
        <v>12</v>
      </c>
      <c r="B32" s="2" t="s">
        <v>123</v>
      </c>
      <c r="C32" s="2" t="s">
        <v>14</v>
      </c>
      <c r="D32" s="2" t="s">
        <v>124</v>
      </c>
      <c r="E32" s="3" t="s">
        <v>125</v>
      </c>
      <c r="F32" s="3" t="s">
        <v>126</v>
      </c>
      <c r="G32" s="4" t="s">
        <v>127</v>
      </c>
      <c r="H32" s="3" t="s">
        <v>92</v>
      </c>
      <c r="I32" s="2" t="s">
        <v>128</v>
      </c>
      <c r="J32" s="2" t="s">
        <v>129</v>
      </c>
      <c r="K32" s="5" t="s">
        <v>22</v>
      </c>
      <c r="L32" s="3"/>
    </row>
    <row r="33" customFormat="false" ht="23.85" hidden="false" customHeight="false" outlineLevel="0" collapsed="false">
      <c r="A33" s="2" t="s">
        <v>12</v>
      </c>
      <c r="B33" s="2" t="s">
        <v>123</v>
      </c>
      <c r="C33" s="2" t="s">
        <v>14</v>
      </c>
      <c r="D33" s="2" t="s">
        <v>130</v>
      </c>
      <c r="E33" s="3" t="s">
        <v>131</v>
      </c>
      <c r="F33" s="3" t="s">
        <v>25</v>
      </c>
      <c r="G33" s="4" t="s">
        <v>132</v>
      </c>
      <c r="H33" s="3" t="s">
        <v>92</v>
      </c>
      <c r="I33" s="2" t="s">
        <v>133</v>
      </c>
      <c r="J33" s="2" t="s">
        <v>129</v>
      </c>
      <c r="K33" s="5" t="s">
        <v>22</v>
      </c>
      <c r="L33" s="3" t="s">
        <v>134</v>
      </c>
    </row>
    <row r="34" customFormat="false" ht="23.85" hidden="false" customHeight="false" outlineLevel="0" collapsed="false">
      <c r="A34" s="2" t="s">
        <v>12</v>
      </c>
      <c r="B34" s="2" t="s">
        <v>123</v>
      </c>
      <c r="C34" s="2" t="s">
        <v>14</v>
      </c>
      <c r="D34" s="2" t="s">
        <v>135</v>
      </c>
      <c r="E34" s="3" t="s">
        <v>136</v>
      </c>
      <c r="F34" s="3" t="s">
        <v>25</v>
      </c>
      <c r="G34" s="4" t="s">
        <v>137</v>
      </c>
      <c r="H34" s="3" t="s">
        <v>92</v>
      </c>
      <c r="I34" s="2" t="s">
        <v>133</v>
      </c>
      <c r="J34" s="2" t="s">
        <v>129</v>
      </c>
      <c r="K34" s="6" t="s">
        <v>30</v>
      </c>
      <c r="L34" s="3" t="s">
        <v>138</v>
      </c>
    </row>
    <row r="35" customFormat="false" ht="23.85" hidden="false" customHeight="false" outlineLevel="0" collapsed="false">
      <c r="A35" s="2" t="s">
        <v>12</v>
      </c>
      <c r="B35" s="2" t="s">
        <v>123</v>
      </c>
      <c r="C35" s="2" t="s">
        <v>14</v>
      </c>
      <c r="D35" s="2" t="s">
        <v>139</v>
      </c>
      <c r="E35" s="3" t="s">
        <v>140</v>
      </c>
      <c r="F35" s="3" t="s">
        <v>35</v>
      </c>
      <c r="G35" s="4" t="s">
        <v>141</v>
      </c>
      <c r="H35" s="3" t="s">
        <v>92</v>
      </c>
      <c r="I35" s="2" t="s">
        <v>128</v>
      </c>
      <c r="J35" s="2" t="s">
        <v>129</v>
      </c>
      <c r="K35" s="7" t="s">
        <v>37</v>
      </c>
      <c r="L35" s="3"/>
    </row>
    <row r="36" customFormat="false" ht="23.85" hidden="false" customHeight="false" outlineLevel="0" collapsed="false">
      <c r="A36" s="2" t="s">
        <v>12</v>
      </c>
      <c r="B36" s="2" t="s">
        <v>123</v>
      </c>
      <c r="C36" s="2" t="s">
        <v>14</v>
      </c>
      <c r="D36" s="2" t="s">
        <v>142</v>
      </c>
      <c r="E36" s="3" t="s">
        <v>143</v>
      </c>
      <c r="F36" s="3" t="s">
        <v>25</v>
      </c>
      <c r="G36" s="4" t="s">
        <v>144</v>
      </c>
      <c r="H36" s="3" t="s">
        <v>92</v>
      </c>
      <c r="I36" s="2" t="s">
        <v>133</v>
      </c>
      <c r="J36" s="2" t="s">
        <v>129</v>
      </c>
      <c r="K36" s="7" t="s">
        <v>37</v>
      </c>
      <c r="L36" s="3" t="s">
        <v>145</v>
      </c>
    </row>
    <row r="37" customFormat="false" ht="23.85" hidden="false" customHeight="false" outlineLevel="0" collapsed="false">
      <c r="A37" s="2" t="s">
        <v>12</v>
      </c>
      <c r="B37" s="2" t="s">
        <v>146</v>
      </c>
      <c r="C37" s="2" t="s">
        <v>14</v>
      </c>
      <c r="D37" s="2" t="s">
        <v>147</v>
      </c>
      <c r="E37" s="3" t="s">
        <v>16</v>
      </c>
      <c r="F37" s="3" t="s">
        <v>17</v>
      </c>
      <c r="G37" s="4" t="s">
        <v>148</v>
      </c>
      <c r="H37" s="3" t="s">
        <v>19</v>
      </c>
      <c r="I37" s="2" t="s">
        <v>149</v>
      </c>
      <c r="J37" s="2" t="s">
        <v>150</v>
      </c>
      <c r="K37" s="5" t="s">
        <v>22</v>
      </c>
      <c r="L37" s="3"/>
    </row>
    <row r="38" customFormat="false" ht="23.85" hidden="false" customHeight="false" outlineLevel="0" collapsed="false">
      <c r="A38" s="2" t="s">
        <v>12</v>
      </c>
      <c r="B38" s="2" t="s">
        <v>146</v>
      </c>
      <c r="C38" s="2" t="s">
        <v>14</v>
      </c>
      <c r="D38" s="2" t="s">
        <v>151</v>
      </c>
      <c r="E38" s="3" t="s">
        <v>24</v>
      </c>
      <c r="F38" s="3" t="s">
        <v>25</v>
      </c>
      <c r="G38" s="4" t="s">
        <v>152</v>
      </c>
      <c r="H38" s="3" t="s">
        <v>19</v>
      </c>
      <c r="I38" s="2" t="s">
        <v>149</v>
      </c>
      <c r="J38" s="2" t="s">
        <v>150</v>
      </c>
      <c r="K38" s="5" t="s">
        <v>22</v>
      </c>
      <c r="L38" s="3"/>
    </row>
    <row r="39" customFormat="false" ht="23.85" hidden="false" customHeight="false" outlineLevel="0" collapsed="false">
      <c r="A39" s="2" t="s">
        <v>12</v>
      </c>
      <c r="B39" s="2" t="s">
        <v>146</v>
      </c>
      <c r="C39" s="2" t="s">
        <v>14</v>
      </c>
      <c r="D39" s="2" t="s">
        <v>153</v>
      </c>
      <c r="E39" s="3" t="s">
        <v>119</v>
      </c>
      <c r="F39" s="3" t="s">
        <v>35</v>
      </c>
      <c r="G39" s="4" t="s">
        <v>154</v>
      </c>
      <c r="H39" s="3" t="s">
        <v>19</v>
      </c>
      <c r="I39" s="2" t="s">
        <v>149</v>
      </c>
      <c r="J39" s="2" t="s">
        <v>150</v>
      </c>
      <c r="K39" s="6" t="s">
        <v>30</v>
      </c>
      <c r="L39" s="3"/>
    </row>
    <row r="40" customFormat="false" ht="23.85" hidden="false" customHeight="false" outlineLevel="0" collapsed="false">
      <c r="A40" s="2" t="s">
        <v>12</v>
      </c>
      <c r="B40" s="2" t="s">
        <v>146</v>
      </c>
      <c r="C40" s="2" t="s">
        <v>14</v>
      </c>
      <c r="D40" s="2" t="s">
        <v>155</v>
      </c>
      <c r="E40" s="3" t="s">
        <v>28</v>
      </c>
      <c r="F40" s="3" t="s">
        <v>25</v>
      </c>
      <c r="G40" s="4" t="s">
        <v>156</v>
      </c>
      <c r="H40" s="3" t="s">
        <v>19</v>
      </c>
      <c r="I40" s="2" t="s">
        <v>149</v>
      </c>
      <c r="J40" s="2" t="s">
        <v>150</v>
      </c>
      <c r="K40" s="6" t="s">
        <v>30</v>
      </c>
      <c r="L40" s="3"/>
    </row>
    <row r="41" customFormat="false" ht="23.85" hidden="false" customHeight="false" outlineLevel="0" collapsed="false">
      <c r="A41" s="2" t="s">
        <v>12</v>
      </c>
      <c r="B41" s="2" t="s">
        <v>146</v>
      </c>
      <c r="C41" s="2" t="s">
        <v>14</v>
      </c>
      <c r="D41" s="2" t="s">
        <v>157</v>
      </c>
      <c r="E41" s="3" t="s">
        <v>28</v>
      </c>
      <c r="F41" s="3" t="s">
        <v>25</v>
      </c>
      <c r="G41" s="4" t="s">
        <v>158</v>
      </c>
      <c r="H41" s="3" t="s">
        <v>19</v>
      </c>
      <c r="I41" s="2" t="s">
        <v>149</v>
      </c>
      <c r="J41" s="2" t="s">
        <v>150</v>
      </c>
      <c r="K41" s="6" t="s">
        <v>30</v>
      </c>
      <c r="L41" s="3"/>
    </row>
    <row r="42" customFormat="false" ht="23.85" hidden="false" customHeight="false" outlineLevel="0" collapsed="false">
      <c r="A42" s="2" t="s">
        <v>12</v>
      </c>
      <c r="B42" s="2" t="s">
        <v>159</v>
      </c>
      <c r="C42" s="2" t="s">
        <v>14</v>
      </c>
      <c r="D42" s="2" t="s">
        <v>160</v>
      </c>
      <c r="E42" s="3" t="s">
        <v>161</v>
      </c>
      <c r="F42" s="3" t="s">
        <v>162</v>
      </c>
      <c r="G42" s="4" t="s">
        <v>163</v>
      </c>
      <c r="H42" s="3" t="s">
        <v>92</v>
      </c>
      <c r="I42" s="2" t="s">
        <v>164</v>
      </c>
      <c r="J42" s="2" t="s">
        <v>165</v>
      </c>
      <c r="K42" s="5" t="s">
        <v>22</v>
      </c>
      <c r="L42" s="3" t="s">
        <v>166</v>
      </c>
    </row>
    <row r="43" customFormat="false" ht="23.85" hidden="false" customHeight="false" outlineLevel="0" collapsed="false">
      <c r="A43" s="2" t="s">
        <v>12</v>
      </c>
      <c r="B43" s="2" t="s">
        <v>159</v>
      </c>
      <c r="C43" s="2" t="s">
        <v>14</v>
      </c>
      <c r="D43" s="2" t="s">
        <v>167</v>
      </c>
      <c r="E43" s="3" t="s">
        <v>168</v>
      </c>
      <c r="F43" s="3" t="s">
        <v>169</v>
      </c>
      <c r="G43" s="4" t="s">
        <v>170</v>
      </c>
      <c r="H43" s="3" t="s">
        <v>19</v>
      </c>
      <c r="I43" s="2" t="s">
        <v>171</v>
      </c>
      <c r="J43" s="2" t="s">
        <v>165</v>
      </c>
      <c r="K43" s="5" t="s">
        <v>22</v>
      </c>
      <c r="L43" s="3" t="s">
        <v>172</v>
      </c>
    </row>
    <row r="44" customFormat="false" ht="23.85" hidden="false" customHeight="false" outlineLevel="0" collapsed="false">
      <c r="A44" s="2" t="s">
        <v>12</v>
      </c>
      <c r="B44" s="2" t="s">
        <v>159</v>
      </c>
      <c r="C44" s="2" t="s">
        <v>14</v>
      </c>
      <c r="D44" s="2" t="s">
        <v>173</v>
      </c>
      <c r="E44" s="3" t="s">
        <v>125</v>
      </c>
      <c r="F44" s="3" t="s">
        <v>126</v>
      </c>
      <c r="G44" s="4" t="s">
        <v>174</v>
      </c>
      <c r="H44" s="3" t="s">
        <v>92</v>
      </c>
      <c r="I44" s="2" t="s">
        <v>175</v>
      </c>
      <c r="J44" s="2" t="s">
        <v>165</v>
      </c>
      <c r="K44" s="5" t="s">
        <v>22</v>
      </c>
      <c r="L44" s="3" t="s">
        <v>176</v>
      </c>
    </row>
    <row r="45" customFormat="false" ht="23.85" hidden="false" customHeight="false" outlineLevel="0" collapsed="false">
      <c r="A45" s="2" t="s">
        <v>12</v>
      </c>
      <c r="B45" s="2" t="s">
        <v>159</v>
      </c>
      <c r="C45" s="2" t="s">
        <v>14</v>
      </c>
      <c r="D45" s="2" t="s">
        <v>177</v>
      </c>
      <c r="E45" s="3" t="s">
        <v>64</v>
      </c>
      <c r="F45" s="3" t="s">
        <v>65</v>
      </c>
      <c r="G45" s="4" t="s">
        <v>178</v>
      </c>
      <c r="H45" s="3" t="s">
        <v>19</v>
      </c>
      <c r="I45" s="2" t="s">
        <v>179</v>
      </c>
      <c r="J45" s="2" t="s">
        <v>165</v>
      </c>
      <c r="K45" s="5" t="s">
        <v>22</v>
      </c>
      <c r="L45" s="3" t="s">
        <v>180</v>
      </c>
    </row>
    <row r="46" customFormat="false" ht="23.85" hidden="false" customHeight="false" outlineLevel="0" collapsed="false">
      <c r="A46" s="2" t="s">
        <v>12</v>
      </c>
      <c r="B46" s="2" t="s">
        <v>159</v>
      </c>
      <c r="C46" s="2" t="s">
        <v>14</v>
      </c>
      <c r="D46" s="2" t="s">
        <v>181</v>
      </c>
      <c r="E46" s="3" t="s">
        <v>34</v>
      </c>
      <c r="F46" s="3" t="s">
        <v>35</v>
      </c>
      <c r="G46" s="4" t="s">
        <v>182</v>
      </c>
      <c r="H46" s="3" t="s">
        <v>19</v>
      </c>
      <c r="I46" s="2" t="s">
        <v>183</v>
      </c>
      <c r="J46" s="2" t="s">
        <v>165</v>
      </c>
      <c r="K46" s="7" t="s">
        <v>37</v>
      </c>
      <c r="L46" s="3" t="s">
        <v>184</v>
      </c>
    </row>
    <row r="47" customFormat="false" ht="23.85" hidden="false" customHeight="false" outlineLevel="0" collapsed="false">
      <c r="A47" s="2" t="s">
        <v>12</v>
      </c>
      <c r="B47" s="2" t="s">
        <v>185</v>
      </c>
      <c r="C47" s="2" t="s">
        <v>14</v>
      </c>
      <c r="D47" s="2" t="s">
        <v>186</v>
      </c>
      <c r="E47" s="3" t="s">
        <v>187</v>
      </c>
      <c r="F47" s="3" t="s">
        <v>188</v>
      </c>
      <c r="G47" s="4" t="s">
        <v>189</v>
      </c>
      <c r="H47" s="3" t="s">
        <v>19</v>
      </c>
      <c r="I47" s="2" t="s">
        <v>190</v>
      </c>
      <c r="J47" s="2" t="s">
        <v>191</v>
      </c>
      <c r="K47" s="5" t="s">
        <v>22</v>
      </c>
      <c r="L47" s="3" t="s">
        <v>192</v>
      </c>
    </row>
    <row r="48" customFormat="false" ht="23.85" hidden="false" customHeight="false" outlineLevel="0" collapsed="false">
      <c r="A48" s="2" t="s">
        <v>12</v>
      </c>
      <c r="B48" s="2" t="s">
        <v>185</v>
      </c>
      <c r="C48" s="2" t="s">
        <v>14</v>
      </c>
      <c r="D48" s="2" t="s">
        <v>193</v>
      </c>
      <c r="E48" s="3" t="s">
        <v>16</v>
      </c>
      <c r="F48" s="3" t="s">
        <v>17</v>
      </c>
      <c r="G48" s="4" t="s">
        <v>194</v>
      </c>
      <c r="H48" s="3" t="s">
        <v>19</v>
      </c>
      <c r="I48" s="2" t="s">
        <v>190</v>
      </c>
      <c r="J48" s="2" t="s">
        <v>191</v>
      </c>
      <c r="K48" s="5" t="s">
        <v>22</v>
      </c>
      <c r="L48" s="3"/>
    </row>
    <row r="49" customFormat="false" ht="23.85" hidden="false" customHeight="false" outlineLevel="0" collapsed="false">
      <c r="A49" s="2" t="s">
        <v>12</v>
      </c>
      <c r="B49" s="2" t="s">
        <v>185</v>
      </c>
      <c r="C49" s="2" t="s">
        <v>14</v>
      </c>
      <c r="D49" s="2" t="s">
        <v>195</v>
      </c>
      <c r="E49" s="3" t="s">
        <v>64</v>
      </c>
      <c r="F49" s="3" t="s">
        <v>65</v>
      </c>
      <c r="G49" s="4" t="s">
        <v>196</v>
      </c>
      <c r="H49" s="3" t="s">
        <v>19</v>
      </c>
      <c r="I49" s="2" t="s">
        <v>190</v>
      </c>
      <c r="J49" s="2" t="s">
        <v>191</v>
      </c>
      <c r="K49" s="5" t="s">
        <v>22</v>
      </c>
      <c r="L49" s="3"/>
    </row>
    <row r="50" customFormat="false" ht="23.85" hidden="false" customHeight="false" outlineLevel="0" collapsed="false">
      <c r="A50" s="2" t="s">
        <v>12</v>
      </c>
      <c r="B50" s="2" t="s">
        <v>185</v>
      </c>
      <c r="C50" s="2" t="s">
        <v>14</v>
      </c>
      <c r="D50" s="2" t="s">
        <v>197</v>
      </c>
      <c r="E50" s="3" t="s">
        <v>24</v>
      </c>
      <c r="F50" s="3" t="s">
        <v>25</v>
      </c>
      <c r="G50" s="4" t="s">
        <v>198</v>
      </c>
      <c r="H50" s="3" t="s">
        <v>19</v>
      </c>
      <c r="I50" s="2" t="s">
        <v>190</v>
      </c>
      <c r="J50" s="2" t="s">
        <v>191</v>
      </c>
      <c r="K50" s="5" t="s">
        <v>22</v>
      </c>
      <c r="L50" s="3"/>
    </row>
    <row r="51" customFormat="false" ht="23.85" hidden="false" customHeight="false" outlineLevel="0" collapsed="false">
      <c r="A51" s="2" t="s">
        <v>12</v>
      </c>
      <c r="B51" s="2" t="s">
        <v>185</v>
      </c>
      <c r="C51" s="2" t="s">
        <v>14</v>
      </c>
      <c r="D51" s="2" t="s">
        <v>199</v>
      </c>
      <c r="E51" s="3" t="s">
        <v>34</v>
      </c>
      <c r="F51" s="3" t="s">
        <v>35</v>
      </c>
      <c r="G51" s="4" t="s">
        <v>200</v>
      </c>
      <c r="H51" s="3" t="s">
        <v>19</v>
      </c>
      <c r="I51" s="2" t="s">
        <v>190</v>
      </c>
      <c r="J51" s="2" t="s">
        <v>191</v>
      </c>
      <c r="K51" s="7" t="s">
        <v>37</v>
      </c>
      <c r="L51" s="3"/>
    </row>
    <row r="52" customFormat="false" ht="23.85" hidden="false" customHeight="false" outlineLevel="0" collapsed="false">
      <c r="A52" s="2" t="s">
        <v>12</v>
      </c>
      <c r="B52" s="2" t="s">
        <v>201</v>
      </c>
      <c r="C52" s="2" t="s">
        <v>14</v>
      </c>
      <c r="D52" s="2" t="s">
        <v>202</v>
      </c>
      <c r="E52" s="3" t="s">
        <v>102</v>
      </c>
      <c r="F52" s="3" t="s">
        <v>103</v>
      </c>
      <c r="G52" s="4" t="s">
        <v>203</v>
      </c>
      <c r="H52" s="3" t="s">
        <v>19</v>
      </c>
      <c r="I52" s="2" t="s">
        <v>204</v>
      </c>
      <c r="J52" s="2" t="s">
        <v>205</v>
      </c>
      <c r="K52" s="5" t="s">
        <v>22</v>
      </c>
      <c r="L52" s="3"/>
    </row>
    <row r="53" customFormat="false" ht="23.85" hidden="false" customHeight="false" outlineLevel="0" collapsed="false">
      <c r="A53" s="2" t="s">
        <v>12</v>
      </c>
      <c r="B53" s="2" t="s">
        <v>201</v>
      </c>
      <c r="C53" s="2" t="s">
        <v>14</v>
      </c>
      <c r="D53" s="2" t="s">
        <v>206</v>
      </c>
      <c r="E53" s="3" t="s">
        <v>64</v>
      </c>
      <c r="F53" s="3" t="s">
        <v>65</v>
      </c>
      <c r="G53" s="4" t="s">
        <v>207</v>
      </c>
      <c r="H53" s="3" t="s">
        <v>19</v>
      </c>
      <c r="I53" s="2" t="s">
        <v>204</v>
      </c>
      <c r="J53" s="2" t="s">
        <v>205</v>
      </c>
      <c r="K53" s="5" t="s">
        <v>22</v>
      </c>
      <c r="L53" s="3"/>
    </row>
    <row r="54" customFormat="false" ht="23.85" hidden="false" customHeight="false" outlineLevel="0" collapsed="false">
      <c r="A54" s="2" t="s">
        <v>12</v>
      </c>
      <c r="B54" s="2" t="s">
        <v>201</v>
      </c>
      <c r="C54" s="2" t="s">
        <v>14</v>
      </c>
      <c r="D54" s="2" t="s">
        <v>208</v>
      </c>
      <c r="E54" s="3" t="s">
        <v>24</v>
      </c>
      <c r="F54" s="3" t="s">
        <v>25</v>
      </c>
      <c r="G54" s="4" t="s">
        <v>209</v>
      </c>
      <c r="H54" s="3" t="s">
        <v>19</v>
      </c>
      <c r="I54" s="2" t="s">
        <v>204</v>
      </c>
      <c r="J54" s="2" t="s">
        <v>205</v>
      </c>
      <c r="K54" s="5" t="s">
        <v>22</v>
      </c>
      <c r="L54" s="3"/>
    </row>
    <row r="55" customFormat="false" ht="23.85" hidden="false" customHeight="false" outlineLevel="0" collapsed="false">
      <c r="A55" s="2" t="s">
        <v>12</v>
      </c>
      <c r="B55" s="2" t="s">
        <v>201</v>
      </c>
      <c r="C55" s="2" t="s">
        <v>14</v>
      </c>
      <c r="D55" s="2" t="s">
        <v>210</v>
      </c>
      <c r="E55" s="3" t="s">
        <v>28</v>
      </c>
      <c r="F55" s="3" t="s">
        <v>25</v>
      </c>
      <c r="G55" s="4" t="s">
        <v>211</v>
      </c>
      <c r="H55" s="3" t="s">
        <v>19</v>
      </c>
      <c r="I55" s="2" t="s">
        <v>204</v>
      </c>
      <c r="J55" s="2" t="s">
        <v>205</v>
      </c>
      <c r="K55" s="6" t="s">
        <v>30</v>
      </c>
      <c r="L55" s="3"/>
    </row>
    <row r="56" customFormat="false" ht="23.85" hidden="false" customHeight="false" outlineLevel="0" collapsed="false">
      <c r="A56" s="2" t="s">
        <v>12</v>
      </c>
      <c r="B56" s="2" t="s">
        <v>201</v>
      </c>
      <c r="C56" s="2" t="s">
        <v>14</v>
      </c>
      <c r="D56" s="2" t="s">
        <v>212</v>
      </c>
      <c r="E56" s="3" t="s">
        <v>34</v>
      </c>
      <c r="F56" s="3" t="s">
        <v>35</v>
      </c>
      <c r="G56" s="4" t="s">
        <v>213</v>
      </c>
      <c r="H56" s="3" t="s">
        <v>19</v>
      </c>
      <c r="I56" s="2" t="s">
        <v>204</v>
      </c>
      <c r="J56" s="2" t="s">
        <v>205</v>
      </c>
      <c r="K56" s="7" t="s">
        <v>37</v>
      </c>
      <c r="L56" s="3"/>
    </row>
    <row r="57" customFormat="false" ht="23.85" hidden="false" customHeight="false" outlineLevel="0" collapsed="false">
      <c r="A57" s="2" t="s">
        <v>12</v>
      </c>
      <c r="B57" s="2" t="s">
        <v>214</v>
      </c>
      <c r="C57" s="2" t="s">
        <v>14</v>
      </c>
      <c r="D57" s="2" t="s">
        <v>215</v>
      </c>
      <c r="E57" s="3" t="s">
        <v>16</v>
      </c>
      <c r="F57" s="3" t="s">
        <v>17</v>
      </c>
      <c r="G57" s="4" t="s">
        <v>216</v>
      </c>
      <c r="H57" s="3" t="s">
        <v>19</v>
      </c>
      <c r="I57" s="2" t="s">
        <v>179</v>
      </c>
      <c r="J57" s="2" t="s">
        <v>217</v>
      </c>
      <c r="K57" s="5" t="s">
        <v>22</v>
      </c>
      <c r="L57" s="3"/>
    </row>
    <row r="58" customFormat="false" ht="23.85" hidden="false" customHeight="false" outlineLevel="0" collapsed="false">
      <c r="A58" s="2" t="s">
        <v>12</v>
      </c>
      <c r="B58" s="2" t="s">
        <v>214</v>
      </c>
      <c r="C58" s="2" t="s">
        <v>14</v>
      </c>
      <c r="D58" s="2" t="s">
        <v>177</v>
      </c>
      <c r="E58" s="3" t="s">
        <v>64</v>
      </c>
      <c r="F58" s="3" t="s">
        <v>65</v>
      </c>
      <c r="G58" s="4" t="s">
        <v>178</v>
      </c>
      <c r="H58" s="3" t="s">
        <v>19</v>
      </c>
      <c r="I58" s="2" t="s">
        <v>179</v>
      </c>
      <c r="J58" s="2" t="s">
        <v>217</v>
      </c>
      <c r="K58" s="5" t="s">
        <v>22</v>
      </c>
      <c r="L58" s="3" t="s">
        <v>180</v>
      </c>
    </row>
    <row r="59" customFormat="false" ht="23.85" hidden="false" customHeight="false" outlineLevel="0" collapsed="false">
      <c r="A59" s="2" t="s">
        <v>12</v>
      </c>
      <c r="B59" s="2" t="s">
        <v>214</v>
      </c>
      <c r="C59" s="2" t="s">
        <v>14</v>
      </c>
      <c r="D59" s="2" t="s">
        <v>218</v>
      </c>
      <c r="E59" s="3" t="s">
        <v>24</v>
      </c>
      <c r="F59" s="3" t="s">
        <v>25</v>
      </c>
      <c r="G59" s="4" t="s">
        <v>219</v>
      </c>
      <c r="H59" s="3" t="s">
        <v>19</v>
      </c>
      <c r="I59" s="2" t="s">
        <v>179</v>
      </c>
      <c r="J59" s="2" t="s">
        <v>217</v>
      </c>
      <c r="K59" s="5" t="s">
        <v>22</v>
      </c>
      <c r="L59" s="3"/>
    </row>
    <row r="60" customFormat="false" ht="23.85" hidden="false" customHeight="false" outlineLevel="0" collapsed="false">
      <c r="A60" s="2" t="s">
        <v>12</v>
      </c>
      <c r="B60" s="2" t="s">
        <v>214</v>
      </c>
      <c r="C60" s="2" t="s">
        <v>14</v>
      </c>
      <c r="D60" s="2" t="s">
        <v>220</v>
      </c>
      <c r="E60" s="3" t="s">
        <v>28</v>
      </c>
      <c r="F60" s="3" t="s">
        <v>25</v>
      </c>
      <c r="G60" s="4" t="s">
        <v>221</v>
      </c>
      <c r="H60" s="3" t="s">
        <v>19</v>
      </c>
      <c r="I60" s="2" t="s">
        <v>179</v>
      </c>
      <c r="J60" s="2" t="s">
        <v>217</v>
      </c>
      <c r="K60" s="6" t="s">
        <v>30</v>
      </c>
      <c r="L60" s="3"/>
    </row>
    <row r="61" customFormat="false" ht="23.85" hidden="false" customHeight="false" outlineLevel="0" collapsed="false">
      <c r="A61" s="2" t="s">
        <v>12</v>
      </c>
      <c r="B61" s="2" t="s">
        <v>214</v>
      </c>
      <c r="C61" s="2" t="s">
        <v>14</v>
      </c>
      <c r="D61" s="2" t="s">
        <v>222</v>
      </c>
      <c r="E61" s="3" t="s">
        <v>34</v>
      </c>
      <c r="F61" s="3" t="s">
        <v>35</v>
      </c>
      <c r="G61" s="4" t="s">
        <v>223</v>
      </c>
      <c r="H61" s="3" t="s">
        <v>19</v>
      </c>
      <c r="I61" s="2" t="s">
        <v>179</v>
      </c>
      <c r="J61" s="2" t="s">
        <v>217</v>
      </c>
      <c r="K61" s="7" t="s">
        <v>37</v>
      </c>
      <c r="L61" s="3"/>
    </row>
    <row r="62" customFormat="false" ht="23.85" hidden="false" customHeight="false" outlineLevel="0" collapsed="false">
      <c r="A62" s="2" t="s">
        <v>12</v>
      </c>
      <c r="B62" s="2" t="s">
        <v>224</v>
      </c>
      <c r="C62" s="2" t="s">
        <v>14</v>
      </c>
      <c r="D62" s="2" t="s">
        <v>225</v>
      </c>
      <c r="E62" s="3" t="s">
        <v>16</v>
      </c>
      <c r="F62" s="3" t="s">
        <v>17</v>
      </c>
      <c r="G62" s="4" t="s">
        <v>226</v>
      </c>
      <c r="H62" s="3" t="s">
        <v>19</v>
      </c>
      <c r="I62" s="2" t="s">
        <v>227</v>
      </c>
      <c r="J62" s="2" t="s">
        <v>228</v>
      </c>
      <c r="K62" s="5" t="s">
        <v>22</v>
      </c>
      <c r="L62" s="3"/>
    </row>
    <row r="63" customFormat="false" ht="23.85" hidden="false" customHeight="false" outlineLevel="0" collapsed="false">
      <c r="A63" s="2" t="s">
        <v>12</v>
      </c>
      <c r="B63" s="2" t="s">
        <v>224</v>
      </c>
      <c r="C63" s="2" t="s">
        <v>14</v>
      </c>
      <c r="D63" s="2" t="s">
        <v>229</v>
      </c>
      <c r="E63" s="3" t="s">
        <v>64</v>
      </c>
      <c r="F63" s="3" t="s">
        <v>65</v>
      </c>
      <c r="G63" s="4" t="s">
        <v>230</v>
      </c>
      <c r="H63" s="3" t="s">
        <v>19</v>
      </c>
      <c r="I63" s="2" t="s">
        <v>227</v>
      </c>
      <c r="J63" s="2" t="s">
        <v>228</v>
      </c>
      <c r="K63" s="5" t="s">
        <v>22</v>
      </c>
      <c r="L63" s="3"/>
    </row>
    <row r="64" customFormat="false" ht="23.85" hidden="false" customHeight="false" outlineLevel="0" collapsed="false">
      <c r="A64" s="2" t="s">
        <v>12</v>
      </c>
      <c r="B64" s="2" t="s">
        <v>224</v>
      </c>
      <c r="C64" s="2" t="s">
        <v>14</v>
      </c>
      <c r="D64" s="2" t="s">
        <v>231</v>
      </c>
      <c r="E64" s="3" t="s">
        <v>24</v>
      </c>
      <c r="F64" s="3" t="s">
        <v>25</v>
      </c>
      <c r="G64" s="4" t="s">
        <v>232</v>
      </c>
      <c r="H64" s="3" t="s">
        <v>19</v>
      </c>
      <c r="I64" s="2" t="s">
        <v>227</v>
      </c>
      <c r="J64" s="2" t="s">
        <v>228</v>
      </c>
      <c r="K64" s="5" t="s">
        <v>22</v>
      </c>
      <c r="L64" s="3"/>
    </row>
    <row r="65" customFormat="false" ht="35.05" hidden="false" customHeight="false" outlineLevel="0" collapsed="false">
      <c r="A65" s="2" t="s">
        <v>12</v>
      </c>
      <c r="B65" s="2" t="s">
        <v>224</v>
      </c>
      <c r="C65" s="2" t="s">
        <v>14</v>
      </c>
      <c r="D65" s="2" t="s">
        <v>233</v>
      </c>
      <c r="E65" s="3" t="s">
        <v>234</v>
      </c>
      <c r="F65" s="3" t="s">
        <v>35</v>
      </c>
      <c r="G65" s="4" t="s">
        <v>235</v>
      </c>
      <c r="H65" s="3" t="s">
        <v>92</v>
      </c>
      <c r="I65" s="2" t="s">
        <v>236</v>
      </c>
      <c r="J65" s="2" t="s">
        <v>228</v>
      </c>
      <c r="K65" s="6" t="s">
        <v>30</v>
      </c>
      <c r="L65" s="3" t="s">
        <v>237</v>
      </c>
    </row>
    <row r="66" customFormat="false" ht="23.85" hidden="false" customHeight="false" outlineLevel="0" collapsed="false">
      <c r="A66" s="2" t="s">
        <v>12</v>
      </c>
      <c r="B66" s="2" t="s">
        <v>224</v>
      </c>
      <c r="C66" s="2" t="s">
        <v>14</v>
      </c>
      <c r="D66" s="2" t="s">
        <v>238</v>
      </c>
      <c r="E66" s="3" t="s">
        <v>28</v>
      </c>
      <c r="F66" s="3" t="s">
        <v>25</v>
      </c>
      <c r="G66" s="4" t="s">
        <v>239</v>
      </c>
      <c r="H66" s="3" t="s">
        <v>19</v>
      </c>
      <c r="I66" s="2" t="s">
        <v>227</v>
      </c>
      <c r="J66" s="2" t="s">
        <v>228</v>
      </c>
      <c r="K66" s="6" t="s">
        <v>30</v>
      </c>
      <c r="L66" s="3"/>
    </row>
    <row r="67" customFormat="false" ht="23.85" hidden="false" customHeight="false" outlineLevel="0" collapsed="false">
      <c r="A67" s="2" t="s">
        <v>12</v>
      </c>
      <c r="B67" s="2" t="s">
        <v>240</v>
      </c>
      <c r="C67" s="2" t="s">
        <v>14</v>
      </c>
      <c r="D67" s="2" t="s">
        <v>39</v>
      </c>
      <c r="E67" s="3" t="s">
        <v>16</v>
      </c>
      <c r="F67" s="3" t="s">
        <v>17</v>
      </c>
      <c r="G67" s="4" t="s">
        <v>40</v>
      </c>
      <c r="H67" s="3" t="s">
        <v>19</v>
      </c>
      <c r="I67" s="2" t="s">
        <v>41</v>
      </c>
      <c r="J67" s="2" t="s">
        <v>241</v>
      </c>
      <c r="K67" s="5" t="s">
        <v>22</v>
      </c>
      <c r="L67" s="3" t="s">
        <v>43</v>
      </c>
    </row>
    <row r="68" customFormat="false" ht="23.85" hidden="false" customHeight="false" outlineLevel="0" collapsed="false">
      <c r="A68" s="2" t="s">
        <v>12</v>
      </c>
      <c r="B68" s="2" t="s">
        <v>240</v>
      </c>
      <c r="C68" s="2" t="s">
        <v>14</v>
      </c>
      <c r="D68" s="2" t="s">
        <v>242</v>
      </c>
      <c r="E68" s="3" t="s">
        <v>24</v>
      </c>
      <c r="F68" s="3" t="s">
        <v>25</v>
      </c>
      <c r="G68" s="4" t="s">
        <v>243</v>
      </c>
      <c r="H68" s="3" t="s">
        <v>19</v>
      </c>
      <c r="I68" s="2" t="s">
        <v>41</v>
      </c>
      <c r="J68" s="2" t="s">
        <v>241</v>
      </c>
      <c r="K68" s="5" t="s">
        <v>22</v>
      </c>
      <c r="L68" s="3"/>
    </row>
    <row r="69" customFormat="false" ht="23.85" hidden="false" customHeight="false" outlineLevel="0" collapsed="false">
      <c r="A69" s="2" t="s">
        <v>12</v>
      </c>
      <c r="B69" s="2" t="s">
        <v>240</v>
      </c>
      <c r="C69" s="2" t="s">
        <v>14</v>
      </c>
      <c r="D69" s="2" t="s">
        <v>244</v>
      </c>
      <c r="E69" s="3" t="s">
        <v>28</v>
      </c>
      <c r="F69" s="3" t="s">
        <v>25</v>
      </c>
      <c r="G69" s="4" t="s">
        <v>245</v>
      </c>
      <c r="H69" s="3" t="s">
        <v>19</v>
      </c>
      <c r="I69" s="2" t="s">
        <v>41</v>
      </c>
      <c r="J69" s="2" t="s">
        <v>241</v>
      </c>
      <c r="K69" s="6" t="s">
        <v>30</v>
      </c>
      <c r="L69" s="3"/>
    </row>
    <row r="70" customFormat="false" ht="23.85" hidden="false" customHeight="false" outlineLevel="0" collapsed="false">
      <c r="A70" s="2" t="s">
        <v>12</v>
      </c>
      <c r="B70" s="2" t="s">
        <v>240</v>
      </c>
      <c r="C70" s="2" t="s">
        <v>14</v>
      </c>
      <c r="D70" s="2" t="s">
        <v>246</v>
      </c>
      <c r="E70" s="3" t="s">
        <v>28</v>
      </c>
      <c r="F70" s="3" t="s">
        <v>25</v>
      </c>
      <c r="G70" s="4" t="s">
        <v>247</v>
      </c>
      <c r="H70" s="3" t="s">
        <v>19</v>
      </c>
      <c r="I70" s="2" t="s">
        <v>41</v>
      </c>
      <c r="J70" s="2" t="s">
        <v>241</v>
      </c>
      <c r="K70" s="6" t="s">
        <v>30</v>
      </c>
      <c r="L70" s="3" t="s">
        <v>248</v>
      </c>
    </row>
    <row r="71" customFormat="false" ht="23.85" hidden="false" customHeight="false" outlineLevel="0" collapsed="false">
      <c r="A71" s="2" t="s">
        <v>12</v>
      </c>
      <c r="B71" s="2" t="s">
        <v>240</v>
      </c>
      <c r="C71" s="2" t="s">
        <v>14</v>
      </c>
      <c r="D71" s="2" t="s">
        <v>249</v>
      </c>
      <c r="E71" s="3" t="s">
        <v>34</v>
      </c>
      <c r="F71" s="3" t="s">
        <v>35</v>
      </c>
      <c r="G71" s="4" t="s">
        <v>250</v>
      </c>
      <c r="H71" s="3" t="s">
        <v>19</v>
      </c>
      <c r="I71" s="2" t="s">
        <v>41</v>
      </c>
      <c r="J71" s="2" t="s">
        <v>241</v>
      </c>
      <c r="K71" s="7" t="s">
        <v>37</v>
      </c>
      <c r="L71" s="3"/>
    </row>
    <row r="72" customFormat="false" ht="23.85" hidden="false" customHeight="false" outlineLevel="0" collapsed="false">
      <c r="A72" s="2" t="s">
        <v>12</v>
      </c>
      <c r="B72" s="2" t="s">
        <v>251</v>
      </c>
      <c r="C72" s="2" t="s">
        <v>14</v>
      </c>
      <c r="D72" s="2" t="s">
        <v>252</v>
      </c>
      <c r="E72" s="3" t="s">
        <v>253</v>
      </c>
      <c r="F72" s="3" t="s">
        <v>254</v>
      </c>
      <c r="G72" s="4" t="s">
        <v>255</v>
      </c>
      <c r="H72" s="3" t="s">
        <v>92</v>
      </c>
      <c r="I72" s="2" t="s">
        <v>256</v>
      </c>
      <c r="J72" s="2" t="s">
        <v>257</v>
      </c>
      <c r="K72" s="5" t="s">
        <v>22</v>
      </c>
      <c r="L72" s="3"/>
    </row>
    <row r="73" customFormat="false" ht="35.05" hidden="false" customHeight="false" outlineLevel="0" collapsed="false">
      <c r="A73" s="2" t="s">
        <v>12</v>
      </c>
      <c r="B73" s="2" t="s">
        <v>251</v>
      </c>
      <c r="C73" s="2" t="s">
        <v>14</v>
      </c>
      <c r="D73" s="2" t="s">
        <v>258</v>
      </c>
      <c r="E73" s="3" t="s">
        <v>259</v>
      </c>
      <c r="F73" s="3" t="s">
        <v>25</v>
      </c>
      <c r="G73" s="4" t="s">
        <v>260</v>
      </c>
      <c r="H73" s="3" t="s">
        <v>92</v>
      </c>
      <c r="I73" s="2" t="s">
        <v>256</v>
      </c>
      <c r="J73" s="2" t="s">
        <v>257</v>
      </c>
      <c r="K73" s="5" t="s">
        <v>22</v>
      </c>
      <c r="L73" s="3" t="s">
        <v>261</v>
      </c>
    </row>
    <row r="74" customFormat="false" ht="23.85" hidden="false" customHeight="false" outlineLevel="0" collapsed="false">
      <c r="A74" s="2" t="s">
        <v>12</v>
      </c>
      <c r="B74" s="2" t="s">
        <v>251</v>
      </c>
      <c r="C74" s="2" t="s">
        <v>14</v>
      </c>
      <c r="D74" s="2" t="s">
        <v>262</v>
      </c>
      <c r="E74" s="3" t="s">
        <v>263</v>
      </c>
      <c r="F74" s="3" t="s">
        <v>264</v>
      </c>
      <c r="G74" s="4" t="s">
        <v>265</v>
      </c>
      <c r="H74" s="3" t="s">
        <v>92</v>
      </c>
      <c r="I74" s="2" t="s">
        <v>266</v>
      </c>
      <c r="J74" s="2" t="s">
        <v>257</v>
      </c>
      <c r="K74" s="6" t="s">
        <v>30</v>
      </c>
      <c r="L74" s="3" t="s">
        <v>267</v>
      </c>
    </row>
    <row r="75" customFormat="false" ht="23.85" hidden="false" customHeight="false" outlineLevel="0" collapsed="false">
      <c r="A75" s="2" t="s">
        <v>12</v>
      </c>
      <c r="B75" s="2" t="s">
        <v>251</v>
      </c>
      <c r="C75" s="2" t="s">
        <v>14</v>
      </c>
      <c r="D75" s="2" t="s">
        <v>268</v>
      </c>
      <c r="E75" s="3" t="s">
        <v>269</v>
      </c>
      <c r="F75" s="3" t="s">
        <v>35</v>
      </c>
      <c r="G75" s="4" t="s">
        <v>270</v>
      </c>
      <c r="H75" s="3" t="s">
        <v>92</v>
      </c>
      <c r="I75" s="2" t="s">
        <v>256</v>
      </c>
      <c r="J75" s="2" t="s">
        <v>257</v>
      </c>
      <c r="K75" s="7" t="s">
        <v>37</v>
      </c>
      <c r="L75" s="3"/>
    </row>
    <row r="76" customFormat="false" ht="23.85" hidden="false" customHeight="false" outlineLevel="0" collapsed="false">
      <c r="A76" s="2" t="s">
        <v>12</v>
      </c>
      <c r="B76" s="2" t="s">
        <v>251</v>
      </c>
      <c r="C76" s="2" t="s">
        <v>14</v>
      </c>
      <c r="D76" s="2" t="s">
        <v>271</v>
      </c>
      <c r="E76" s="3" t="s">
        <v>272</v>
      </c>
      <c r="F76" s="3" t="s">
        <v>25</v>
      </c>
      <c r="G76" s="4" t="s">
        <v>273</v>
      </c>
      <c r="H76" s="3" t="s">
        <v>92</v>
      </c>
      <c r="I76" s="2" t="s">
        <v>256</v>
      </c>
      <c r="J76" s="2" t="s">
        <v>257</v>
      </c>
      <c r="K76" s="7" t="s">
        <v>37</v>
      </c>
      <c r="L76" s="3"/>
    </row>
    <row r="77" customFormat="false" ht="23.85" hidden="false" customHeight="false" outlineLevel="0" collapsed="false">
      <c r="A77" s="2" t="s">
        <v>12</v>
      </c>
      <c r="B77" s="2" t="s">
        <v>274</v>
      </c>
      <c r="C77" s="2" t="s">
        <v>22</v>
      </c>
      <c r="D77" s="2" t="s">
        <v>275</v>
      </c>
      <c r="E77" s="3" t="s">
        <v>168</v>
      </c>
      <c r="F77" s="3" t="s">
        <v>169</v>
      </c>
      <c r="G77" s="4" t="s">
        <v>276</v>
      </c>
      <c r="H77" s="3" t="s">
        <v>19</v>
      </c>
      <c r="I77" s="2" t="s">
        <v>277</v>
      </c>
      <c r="J77" s="2" t="s">
        <v>278</v>
      </c>
      <c r="K77" s="5" t="s">
        <v>22</v>
      </c>
      <c r="L77" s="3"/>
    </row>
    <row r="78" customFormat="false" ht="23.85" hidden="false" customHeight="false" outlineLevel="0" collapsed="false">
      <c r="A78" s="2" t="s">
        <v>12</v>
      </c>
      <c r="B78" s="2" t="s">
        <v>274</v>
      </c>
      <c r="C78" s="2" t="s">
        <v>22</v>
      </c>
      <c r="D78" s="2" t="s">
        <v>279</v>
      </c>
      <c r="E78" s="3" t="s">
        <v>280</v>
      </c>
      <c r="F78" s="3" t="s">
        <v>281</v>
      </c>
      <c r="G78" s="4" t="s">
        <v>282</v>
      </c>
      <c r="H78" s="3" t="s">
        <v>19</v>
      </c>
      <c r="I78" s="2" t="s">
        <v>277</v>
      </c>
      <c r="J78" s="2" t="s">
        <v>278</v>
      </c>
      <c r="K78" s="5" t="s">
        <v>22</v>
      </c>
      <c r="L78" s="3"/>
    </row>
    <row r="79" customFormat="false" ht="23.85" hidden="false" customHeight="false" outlineLevel="0" collapsed="false">
      <c r="A79" s="2" t="s">
        <v>12</v>
      </c>
      <c r="B79" s="2" t="s">
        <v>274</v>
      </c>
      <c r="C79" s="2" t="s">
        <v>22</v>
      </c>
      <c r="D79" s="2" t="s">
        <v>283</v>
      </c>
      <c r="E79" s="3" t="s">
        <v>284</v>
      </c>
      <c r="F79" s="3" t="s">
        <v>25</v>
      </c>
      <c r="G79" s="4" t="s">
        <v>285</v>
      </c>
      <c r="H79" s="3" t="s">
        <v>19</v>
      </c>
      <c r="I79" s="2" t="s">
        <v>277</v>
      </c>
      <c r="J79" s="2" t="s">
        <v>278</v>
      </c>
      <c r="K79" s="5" t="s">
        <v>22</v>
      </c>
      <c r="L79" s="3"/>
    </row>
    <row r="80" customFormat="false" ht="23.85" hidden="false" customHeight="false" outlineLevel="0" collapsed="false">
      <c r="A80" s="2" t="s">
        <v>12</v>
      </c>
      <c r="B80" s="2" t="s">
        <v>274</v>
      </c>
      <c r="C80" s="2" t="s">
        <v>22</v>
      </c>
      <c r="D80" s="2" t="s">
        <v>286</v>
      </c>
      <c r="E80" s="3" t="s">
        <v>287</v>
      </c>
      <c r="F80" s="3" t="s">
        <v>35</v>
      </c>
      <c r="G80" s="4" t="s">
        <v>288</v>
      </c>
      <c r="H80" s="3" t="s">
        <v>92</v>
      </c>
      <c r="I80" s="2" t="s">
        <v>289</v>
      </c>
      <c r="J80" s="2" t="s">
        <v>278</v>
      </c>
      <c r="K80" s="6" t="s">
        <v>30</v>
      </c>
      <c r="L80" s="3" t="s">
        <v>290</v>
      </c>
    </row>
    <row r="81" customFormat="false" ht="23.85" hidden="false" customHeight="false" outlineLevel="0" collapsed="false">
      <c r="A81" s="2" t="s">
        <v>12</v>
      </c>
      <c r="B81" s="2" t="s">
        <v>274</v>
      </c>
      <c r="C81" s="2" t="s">
        <v>22</v>
      </c>
      <c r="D81" s="2" t="s">
        <v>291</v>
      </c>
      <c r="E81" s="3" t="s">
        <v>292</v>
      </c>
      <c r="F81" s="3" t="s">
        <v>25</v>
      </c>
      <c r="G81" s="4" t="s">
        <v>293</v>
      </c>
      <c r="H81" s="3" t="s">
        <v>19</v>
      </c>
      <c r="I81" s="2" t="s">
        <v>277</v>
      </c>
      <c r="J81" s="2" t="s">
        <v>278</v>
      </c>
      <c r="K81" s="6" t="s">
        <v>30</v>
      </c>
      <c r="L81" s="3"/>
    </row>
    <row r="82" customFormat="false" ht="23.85" hidden="false" customHeight="false" outlineLevel="0" collapsed="false">
      <c r="A82" s="2" t="s">
        <v>12</v>
      </c>
      <c r="B82" s="2" t="s">
        <v>294</v>
      </c>
      <c r="C82" s="2" t="s">
        <v>22</v>
      </c>
      <c r="D82" s="2" t="s">
        <v>295</v>
      </c>
      <c r="E82" s="3" t="s">
        <v>296</v>
      </c>
      <c r="F82" s="3" t="s">
        <v>297</v>
      </c>
      <c r="G82" s="4" t="s">
        <v>298</v>
      </c>
      <c r="H82" s="3" t="s">
        <v>92</v>
      </c>
      <c r="I82" s="2" t="s">
        <v>299</v>
      </c>
      <c r="J82" s="2" t="s">
        <v>300</v>
      </c>
      <c r="K82" s="5" t="s">
        <v>22</v>
      </c>
      <c r="L82" s="3" t="s">
        <v>301</v>
      </c>
    </row>
    <row r="83" customFormat="false" ht="23.85" hidden="false" customHeight="false" outlineLevel="0" collapsed="false">
      <c r="A83" s="2" t="s">
        <v>12</v>
      </c>
      <c r="B83" s="2" t="s">
        <v>294</v>
      </c>
      <c r="C83" s="2" t="s">
        <v>22</v>
      </c>
      <c r="D83" s="2" t="s">
        <v>302</v>
      </c>
      <c r="E83" s="3" t="s">
        <v>303</v>
      </c>
      <c r="F83" s="3" t="s">
        <v>304</v>
      </c>
      <c r="G83" s="4" t="s">
        <v>305</v>
      </c>
      <c r="H83" s="3" t="s">
        <v>92</v>
      </c>
      <c r="I83" s="2" t="s">
        <v>306</v>
      </c>
      <c r="J83" s="2" t="s">
        <v>300</v>
      </c>
      <c r="K83" s="5" t="s">
        <v>22</v>
      </c>
      <c r="L83" s="3" t="s">
        <v>307</v>
      </c>
    </row>
    <row r="84" customFormat="false" ht="23.85" hidden="false" customHeight="false" outlineLevel="0" collapsed="false">
      <c r="A84" s="2" t="s">
        <v>12</v>
      </c>
      <c r="B84" s="2" t="s">
        <v>294</v>
      </c>
      <c r="C84" s="2" t="s">
        <v>22</v>
      </c>
      <c r="D84" s="2" t="s">
        <v>308</v>
      </c>
      <c r="E84" s="3" t="s">
        <v>309</v>
      </c>
      <c r="F84" s="3" t="s">
        <v>310</v>
      </c>
      <c r="G84" s="4" t="s">
        <v>311</v>
      </c>
      <c r="H84" s="3" t="s">
        <v>19</v>
      </c>
      <c r="I84" s="2" t="s">
        <v>312</v>
      </c>
      <c r="J84" s="2" t="s">
        <v>300</v>
      </c>
      <c r="K84" s="5" t="s">
        <v>22</v>
      </c>
      <c r="L84" s="3"/>
    </row>
    <row r="85" customFormat="false" ht="23.85" hidden="false" customHeight="false" outlineLevel="0" collapsed="false">
      <c r="A85" s="2" t="s">
        <v>12</v>
      </c>
      <c r="B85" s="2" t="s">
        <v>294</v>
      </c>
      <c r="C85" s="2" t="s">
        <v>22</v>
      </c>
      <c r="D85" s="2" t="s">
        <v>313</v>
      </c>
      <c r="E85" s="3" t="s">
        <v>284</v>
      </c>
      <c r="F85" s="3" t="s">
        <v>25</v>
      </c>
      <c r="G85" s="4" t="s">
        <v>314</v>
      </c>
      <c r="H85" s="3" t="s">
        <v>19</v>
      </c>
      <c r="I85" s="2" t="s">
        <v>312</v>
      </c>
      <c r="J85" s="2" t="s">
        <v>300</v>
      </c>
      <c r="K85" s="5" t="s">
        <v>22</v>
      </c>
      <c r="L85" s="3"/>
    </row>
    <row r="86" customFormat="false" ht="23.85" hidden="false" customHeight="false" outlineLevel="0" collapsed="false">
      <c r="A86" s="2" t="s">
        <v>12</v>
      </c>
      <c r="B86" s="2" t="s">
        <v>294</v>
      </c>
      <c r="C86" s="2" t="s">
        <v>22</v>
      </c>
      <c r="D86" s="2" t="s">
        <v>315</v>
      </c>
      <c r="E86" s="3" t="s">
        <v>316</v>
      </c>
      <c r="F86" s="3" t="s">
        <v>35</v>
      </c>
      <c r="G86" s="4" t="s">
        <v>317</v>
      </c>
      <c r="H86" s="3" t="s">
        <v>19</v>
      </c>
      <c r="I86" s="2" t="s">
        <v>312</v>
      </c>
      <c r="J86" s="2" t="s">
        <v>300</v>
      </c>
      <c r="K86" s="7" t="s">
        <v>37</v>
      </c>
      <c r="L86" s="3"/>
    </row>
    <row r="87" customFormat="false" ht="35.05" hidden="false" customHeight="false" outlineLevel="0" collapsed="false">
      <c r="A87" s="2" t="s">
        <v>12</v>
      </c>
      <c r="B87" s="2" t="s">
        <v>318</v>
      </c>
      <c r="C87" s="2" t="s">
        <v>22</v>
      </c>
      <c r="D87" s="2" t="s">
        <v>319</v>
      </c>
      <c r="E87" s="3" t="s">
        <v>72</v>
      </c>
      <c r="F87" s="3" t="s">
        <v>320</v>
      </c>
      <c r="G87" s="4" t="s">
        <v>321</v>
      </c>
      <c r="H87" s="3" t="s">
        <v>19</v>
      </c>
      <c r="I87" s="2" t="s">
        <v>322</v>
      </c>
      <c r="J87" s="2" t="s">
        <v>323</v>
      </c>
      <c r="K87" s="5" t="s">
        <v>22</v>
      </c>
      <c r="L87" s="3" t="s">
        <v>324</v>
      </c>
    </row>
    <row r="88" customFormat="false" ht="23.85" hidden="false" customHeight="false" outlineLevel="0" collapsed="false">
      <c r="A88" s="2" t="s">
        <v>12</v>
      </c>
      <c r="B88" s="2" t="s">
        <v>318</v>
      </c>
      <c r="C88" s="2" t="s">
        <v>22</v>
      </c>
      <c r="D88" s="2" t="s">
        <v>325</v>
      </c>
      <c r="E88" s="3" t="s">
        <v>125</v>
      </c>
      <c r="F88" s="3" t="s">
        <v>103</v>
      </c>
      <c r="G88" s="4" t="s">
        <v>326</v>
      </c>
      <c r="H88" s="3" t="s">
        <v>19</v>
      </c>
      <c r="I88" s="2" t="s">
        <v>322</v>
      </c>
      <c r="J88" s="2" t="s">
        <v>323</v>
      </c>
      <c r="K88" s="5" t="s">
        <v>22</v>
      </c>
      <c r="L88" s="3"/>
    </row>
    <row r="89" customFormat="false" ht="23.85" hidden="false" customHeight="false" outlineLevel="0" collapsed="false">
      <c r="A89" s="2" t="s">
        <v>12</v>
      </c>
      <c r="B89" s="2" t="s">
        <v>318</v>
      </c>
      <c r="C89" s="2" t="s">
        <v>22</v>
      </c>
      <c r="D89" s="2" t="s">
        <v>327</v>
      </c>
      <c r="E89" s="3" t="s">
        <v>280</v>
      </c>
      <c r="F89" s="3" t="s">
        <v>281</v>
      </c>
      <c r="G89" s="4" t="s">
        <v>328</v>
      </c>
      <c r="H89" s="3" t="s">
        <v>19</v>
      </c>
      <c r="I89" s="2" t="s">
        <v>322</v>
      </c>
      <c r="J89" s="2" t="s">
        <v>323</v>
      </c>
      <c r="K89" s="5" t="s">
        <v>22</v>
      </c>
      <c r="L89" s="3"/>
    </row>
    <row r="90" customFormat="false" ht="23.85" hidden="false" customHeight="false" outlineLevel="0" collapsed="false">
      <c r="A90" s="2" t="s">
        <v>12</v>
      </c>
      <c r="B90" s="2" t="s">
        <v>318</v>
      </c>
      <c r="C90" s="2" t="s">
        <v>22</v>
      </c>
      <c r="D90" s="2" t="s">
        <v>329</v>
      </c>
      <c r="E90" s="3" t="s">
        <v>284</v>
      </c>
      <c r="F90" s="3" t="s">
        <v>25</v>
      </c>
      <c r="G90" s="4" t="s">
        <v>330</v>
      </c>
      <c r="H90" s="3" t="s">
        <v>19</v>
      </c>
      <c r="I90" s="2" t="s">
        <v>322</v>
      </c>
      <c r="J90" s="2" t="s">
        <v>323</v>
      </c>
      <c r="K90" s="5" t="s">
        <v>22</v>
      </c>
      <c r="L90" s="3"/>
    </row>
    <row r="91" customFormat="false" ht="23.85" hidden="false" customHeight="false" outlineLevel="0" collapsed="false">
      <c r="A91" s="2" t="s">
        <v>12</v>
      </c>
      <c r="B91" s="2" t="s">
        <v>318</v>
      </c>
      <c r="C91" s="2" t="s">
        <v>22</v>
      </c>
      <c r="D91" s="2" t="s">
        <v>331</v>
      </c>
      <c r="E91" s="3" t="s">
        <v>119</v>
      </c>
      <c r="F91" s="3" t="s">
        <v>35</v>
      </c>
      <c r="G91" s="4" t="s">
        <v>332</v>
      </c>
      <c r="H91" s="3" t="s">
        <v>19</v>
      </c>
      <c r="I91" s="2" t="s">
        <v>322</v>
      </c>
      <c r="J91" s="2" t="s">
        <v>323</v>
      </c>
      <c r="K91" s="6" t="s">
        <v>30</v>
      </c>
      <c r="L91" s="3"/>
    </row>
    <row r="92" customFormat="false" ht="23.85" hidden="false" customHeight="false" outlineLevel="0" collapsed="false">
      <c r="A92" s="2" t="s">
        <v>12</v>
      </c>
      <c r="B92" s="2" t="s">
        <v>333</v>
      </c>
      <c r="C92" s="2" t="s">
        <v>22</v>
      </c>
      <c r="D92" s="2" t="s">
        <v>334</v>
      </c>
      <c r="E92" s="3" t="s">
        <v>280</v>
      </c>
      <c r="F92" s="3" t="s">
        <v>281</v>
      </c>
      <c r="G92" s="4" t="s">
        <v>335</v>
      </c>
      <c r="H92" s="3" t="s">
        <v>19</v>
      </c>
      <c r="I92" s="2" t="s">
        <v>336</v>
      </c>
      <c r="J92" s="2" t="s">
        <v>337</v>
      </c>
      <c r="K92" s="5" t="s">
        <v>22</v>
      </c>
      <c r="L92" s="3"/>
    </row>
    <row r="93" customFormat="false" ht="23.85" hidden="false" customHeight="false" outlineLevel="0" collapsed="false">
      <c r="A93" s="2" t="s">
        <v>12</v>
      </c>
      <c r="B93" s="2" t="s">
        <v>333</v>
      </c>
      <c r="C93" s="2" t="s">
        <v>22</v>
      </c>
      <c r="D93" s="2" t="s">
        <v>338</v>
      </c>
      <c r="E93" s="3" t="s">
        <v>284</v>
      </c>
      <c r="F93" s="3" t="s">
        <v>25</v>
      </c>
      <c r="G93" s="4" t="s">
        <v>339</v>
      </c>
      <c r="H93" s="3" t="s">
        <v>19</v>
      </c>
      <c r="I93" s="2" t="s">
        <v>336</v>
      </c>
      <c r="J93" s="2" t="s">
        <v>337</v>
      </c>
      <c r="K93" s="5" t="s">
        <v>22</v>
      </c>
      <c r="L93" s="3" t="s">
        <v>340</v>
      </c>
    </row>
    <row r="94" customFormat="false" ht="23.85" hidden="false" customHeight="false" outlineLevel="0" collapsed="false">
      <c r="A94" s="2" t="s">
        <v>12</v>
      </c>
      <c r="B94" s="2" t="s">
        <v>333</v>
      </c>
      <c r="C94" s="2" t="s">
        <v>22</v>
      </c>
      <c r="D94" s="2" t="s">
        <v>341</v>
      </c>
      <c r="E94" s="3" t="s">
        <v>292</v>
      </c>
      <c r="F94" s="3" t="s">
        <v>25</v>
      </c>
      <c r="G94" s="4" t="s">
        <v>342</v>
      </c>
      <c r="H94" s="3" t="s">
        <v>19</v>
      </c>
      <c r="I94" s="2" t="s">
        <v>336</v>
      </c>
      <c r="J94" s="2" t="s">
        <v>337</v>
      </c>
      <c r="K94" s="6" t="s">
        <v>30</v>
      </c>
      <c r="L94" s="3"/>
    </row>
    <row r="95" customFormat="false" ht="23.85" hidden="false" customHeight="false" outlineLevel="0" collapsed="false">
      <c r="A95" s="2" t="s">
        <v>12</v>
      </c>
      <c r="B95" s="2" t="s">
        <v>333</v>
      </c>
      <c r="C95" s="2" t="s">
        <v>22</v>
      </c>
      <c r="D95" s="2" t="s">
        <v>343</v>
      </c>
      <c r="E95" s="3" t="s">
        <v>292</v>
      </c>
      <c r="F95" s="3" t="s">
        <v>25</v>
      </c>
      <c r="G95" s="4" t="s">
        <v>344</v>
      </c>
      <c r="H95" s="3" t="s">
        <v>19</v>
      </c>
      <c r="I95" s="2" t="s">
        <v>336</v>
      </c>
      <c r="J95" s="2" t="s">
        <v>337</v>
      </c>
      <c r="K95" s="6" t="s">
        <v>30</v>
      </c>
      <c r="L95" s="3"/>
    </row>
    <row r="96" customFormat="false" ht="23.85" hidden="false" customHeight="false" outlineLevel="0" collapsed="false">
      <c r="A96" s="2" t="s">
        <v>12</v>
      </c>
      <c r="B96" s="2" t="s">
        <v>333</v>
      </c>
      <c r="C96" s="2" t="s">
        <v>22</v>
      </c>
      <c r="D96" s="2" t="s">
        <v>345</v>
      </c>
      <c r="E96" s="3" t="s">
        <v>316</v>
      </c>
      <c r="F96" s="3" t="s">
        <v>35</v>
      </c>
      <c r="G96" s="4" t="s">
        <v>346</v>
      </c>
      <c r="H96" s="3" t="s">
        <v>19</v>
      </c>
      <c r="I96" s="2" t="s">
        <v>336</v>
      </c>
      <c r="J96" s="2" t="s">
        <v>337</v>
      </c>
      <c r="K96" s="7" t="s">
        <v>37</v>
      </c>
      <c r="L96" s="3"/>
    </row>
    <row r="97" customFormat="false" ht="23.85" hidden="false" customHeight="false" outlineLevel="0" collapsed="false">
      <c r="A97" s="2" t="s">
        <v>12</v>
      </c>
      <c r="B97" s="2" t="s">
        <v>347</v>
      </c>
      <c r="C97" s="2" t="s">
        <v>22</v>
      </c>
      <c r="D97" s="2" t="s">
        <v>348</v>
      </c>
      <c r="E97" s="3" t="s">
        <v>284</v>
      </c>
      <c r="F97" s="3" t="s">
        <v>25</v>
      </c>
      <c r="G97" s="4" t="s">
        <v>349</v>
      </c>
      <c r="H97" s="3" t="s">
        <v>19</v>
      </c>
      <c r="I97" s="2" t="s">
        <v>350</v>
      </c>
      <c r="J97" s="2" t="s">
        <v>351</v>
      </c>
      <c r="K97" s="5" t="s">
        <v>22</v>
      </c>
      <c r="L97" s="3"/>
    </row>
    <row r="98" customFormat="false" ht="23.85" hidden="false" customHeight="false" outlineLevel="0" collapsed="false">
      <c r="A98" s="2" t="s">
        <v>12</v>
      </c>
      <c r="B98" s="2" t="s">
        <v>347</v>
      </c>
      <c r="C98" s="2" t="s">
        <v>22</v>
      </c>
      <c r="D98" s="2" t="s">
        <v>352</v>
      </c>
      <c r="E98" s="3" t="s">
        <v>292</v>
      </c>
      <c r="F98" s="3" t="s">
        <v>25</v>
      </c>
      <c r="G98" s="4" t="s">
        <v>353</v>
      </c>
      <c r="H98" s="3" t="s">
        <v>19</v>
      </c>
      <c r="I98" s="2" t="s">
        <v>350</v>
      </c>
      <c r="J98" s="2" t="s">
        <v>351</v>
      </c>
      <c r="K98" s="6" t="s">
        <v>30</v>
      </c>
      <c r="L98" s="3"/>
    </row>
    <row r="99" customFormat="false" ht="23.85" hidden="false" customHeight="false" outlineLevel="0" collapsed="false">
      <c r="A99" s="2" t="s">
        <v>12</v>
      </c>
      <c r="B99" s="2" t="s">
        <v>347</v>
      </c>
      <c r="C99" s="2" t="s">
        <v>22</v>
      </c>
      <c r="D99" s="2" t="s">
        <v>354</v>
      </c>
      <c r="E99" s="3" t="s">
        <v>292</v>
      </c>
      <c r="F99" s="3" t="s">
        <v>25</v>
      </c>
      <c r="G99" s="4" t="s">
        <v>355</v>
      </c>
      <c r="H99" s="3" t="s">
        <v>19</v>
      </c>
      <c r="I99" s="2" t="s">
        <v>350</v>
      </c>
      <c r="J99" s="2" t="s">
        <v>351</v>
      </c>
      <c r="K99" s="6" t="s">
        <v>30</v>
      </c>
      <c r="L99" s="3" t="s">
        <v>356</v>
      </c>
    </row>
    <row r="100" customFormat="false" ht="23.85" hidden="false" customHeight="false" outlineLevel="0" collapsed="false">
      <c r="A100" s="2" t="s">
        <v>12</v>
      </c>
      <c r="B100" s="2" t="s">
        <v>347</v>
      </c>
      <c r="C100" s="2" t="s">
        <v>22</v>
      </c>
      <c r="D100" s="2" t="s">
        <v>357</v>
      </c>
      <c r="E100" s="3" t="s">
        <v>292</v>
      </c>
      <c r="F100" s="3" t="s">
        <v>25</v>
      </c>
      <c r="G100" s="4" t="s">
        <v>358</v>
      </c>
      <c r="H100" s="3" t="s">
        <v>19</v>
      </c>
      <c r="I100" s="2" t="s">
        <v>350</v>
      </c>
      <c r="J100" s="2" t="s">
        <v>351</v>
      </c>
      <c r="K100" s="6" t="s">
        <v>30</v>
      </c>
      <c r="L100" s="3" t="s">
        <v>359</v>
      </c>
    </row>
    <row r="101" customFormat="false" ht="23.85" hidden="false" customHeight="false" outlineLevel="0" collapsed="false">
      <c r="A101" s="2" t="s">
        <v>12</v>
      </c>
      <c r="B101" s="2" t="s">
        <v>347</v>
      </c>
      <c r="C101" s="2" t="s">
        <v>22</v>
      </c>
      <c r="D101" s="2" t="s">
        <v>360</v>
      </c>
      <c r="E101" s="3" t="s">
        <v>316</v>
      </c>
      <c r="F101" s="3" t="s">
        <v>35</v>
      </c>
      <c r="G101" s="4" t="s">
        <v>361</v>
      </c>
      <c r="H101" s="3" t="s">
        <v>19</v>
      </c>
      <c r="I101" s="2" t="s">
        <v>350</v>
      </c>
      <c r="J101" s="2" t="s">
        <v>351</v>
      </c>
      <c r="K101" s="7" t="s">
        <v>37</v>
      </c>
      <c r="L101" s="3"/>
    </row>
    <row r="102" customFormat="false" ht="23.85" hidden="false" customHeight="false" outlineLevel="0" collapsed="false">
      <c r="A102" s="2" t="s">
        <v>12</v>
      </c>
      <c r="B102" s="2" t="s">
        <v>362</v>
      </c>
      <c r="C102" s="2" t="s">
        <v>22</v>
      </c>
      <c r="D102" s="2" t="s">
        <v>363</v>
      </c>
      <c r="E102" s="3" t="s">
        <v>168</v>
      </c>
      <c r="F102" s="3" t="s">
        <v>169</v>
      </c>
      <c r="G102" s="4" t="s">
        <v>364</v>
      </c>
      <c r="H102" s="3" t="s">
        <v>19</v>
      </c>
      <c r="I102" s="2" t="s">
        <v>365</v>
      </c>
      <c r="J102" s="2" t="s">
        <v>366</v>
      </c>
      <c r="K102" s="5" t="s">
        <v>22</v>
      </c>
      <c r="L102" s="3"/>
    </row>
    <row r="103" customFormat="false" ht="23.85" hidden="false" customHeight="false" outlineLevel="0" collapsed="false">
      <c r="A103" s="2" t="s">
        <v>12</v>
      </c>
      <c r="B103" s="2" t="s">
        <v>362</v>
      </c>
      <c r="C103" s="2" t="s">
        <v>22</v>
      </c>
      <c r="D103" s="2" t="s">
        <v>367</v>
      </c>
      <c r="E103" s="3" t="s">
        <v>368</v>
      </c>
      <c r="F103" s="3" t="s">
        <v>98</v>
      </c>
      <c r="G103" s="4" t="s">
        <v>369</v>
      </c>
      <c r="H103" s="3" t="s">
        <v>19</v>
      </c>
      <c r="I103" s="2" t="s">
        <v>365</v>
      </c>
      <c r="J103" s="2" t="s">
        <v>366</v>
      </c>
      <c r="K103" s="5" t="s">
        <v>22</v>
      </c>
      <c r="L103" s="3"/>
    </row>
    <row r="104" customFormat="false" ht="23.85" hidden="false" customHeight="false" outlineLevel="0" collapsed="false">
      <c r="A104" s="2" t="s">
        <v>12</v>
      </c>
      <c r="B104" s="2" t="s">
        <v>362</v>
      </c>
      <c r="C104" s="2" t="s">
        <v>22</v>
      </c>
      <c r="D104" s="2" t="s">
        <v>370</v>
      </c>
      <c r="E104" s="3" t="s">
        <v>371</v>
      </c>
      <c r="F104" s="3" t="s">
        <v>372</v>
      </c>
      <c r="G104" s="4" t="s">
        <v>373</v>
      </c>
      <c r="H104" s="3" t="s">
        <v>92</v>
      </c>
      <c r="I104" s="2" t="s">
        <v>374</v>
      </c>
      <c r="J104" s="2" t="s">
        <v>366</v>
      </c>
      <c r="K104" s="5" t="s">
        <v>22</v>
      </c>
      <c r="L104" s="3" t="s">
        <v>375</v>
      </c>
    </row>
    <row r="105" customFormat="false" ht="23.85" hidden="false" customHeight="false" outlineLevel="0" collapsed="false">
      <c r="A105" s="2" t="s">
        <v>12</v>
      </c>
      <c r="B105" s="2" t="s">
        <v>362</v>
      </c>
      <c r="C105" s="2" t="s">
        <v>22</v>
      </c>
      <c r="D105" s="2" t="s">
        <v>376</v>
      </c>
      <c r="E105" s="3" t="s">
        <v>284</v>
      </c>
      <c r="F105" s="3" t="s">
        <v>25</v>
      </c>
      <c r="G105" s="4" t="s">
        <v>377</v>
      </c>
      <c r="H105" s="3" t="s">
        <v>19</v>
      </c>
      <c r="I105" s="2" t="s">
        <v>365</v>
      </c>
      <c r="J105" s="2" t="s">
        <v>366</v>
      </c>
      <c r="K105" s="5" t="s">
        <v>22</v>
      </c>
      <c r="L105" s="3"/>
    </row>
    <row r="106" customFormat="false" ht="23.85" hidden="false" customHeight="false" outlineLevel="0" collapsed="false">
      <c r="A106" s="2" t="s">
        <v>12</v>
      </c>
      <c r="B106" s="2" t="s">
        <v>362</v>
      </c>
      <c r="C106" s="2" t="s">
        <v>22</v>
      </c>
      <c r="D106" s="2" t="s">
        <v>378</v>
      </c>
      <c r="E106" s="3" t="s">
        <v>52</v>
      </c>
      <c r="F106" s="3" t="s">
        <v>35</v>
      </c>
      <c r="G106" s="4" t="s">
        <v>379</v>
      </c>
      <c r="H106" s="3" t="s">
        <v>19</v>
      </c>
      <c r="I106" s="2" t="s">
        <v>365</v>
      </c>
      <c r="J106" s="2" t="s">
        <v>366</v>
      </c>
      <c r="K106" s="7" t="s">
        <v>37</v>
      </c>
      <c r="L106" s="3"/>
    </row>
    <row r="107" customFormat="false" ht="23.85" hidden="false" customHeight="false" outlineLevel="0" collapsed="false">
      <c r="A107" s="2" t="s">
        <v>12</v>
      </c>
      <c r="B107" s="2" t="s">
        <v>380</v>
      </c>
      <c r="C107" s="2" t="s">
        <v>22</v>
      </c>
      <c r="D107" s="2" t="s">
        <v>167</v>
      </c>
      <c r="E107" s="3" t="s">
        <v>168</v>
      </c>
      <c r="F107" s="3" t="s">
        <v>169</v>
      </c>
      <c r="G107" s="4" t="s">
        <v>170</v>
      </c>
      <c r="H107" s="3" t="s">
        <v>19</v>
      </c>
      <c r="I107" s="2" t="s">
        <v>171</v>
      </c>
      <c r="J107" s="2" t="s">
        <v>381</v>
      </c>
      <c r="K107" s="5" t="s">
        <v>22</v>
      </c>
      <c r="L107" s="3" t="s">
        <v>172</v>
      </c>
    </row>
    <row r="108" customFormat="false" ht="23.85" hidden="false" customHeight="false" outlineLevel="0" collapsed="false">
      <c r="A108" s="2" t="s">
        <v>12</v>
      </c>
      <c r="B108" s="2" t="s">
        <v>380</v>
      </c>
      <c r="C108" s="2" t="s">
        <v>22</v>
      </c>
      <c r="D108" s="2" t="s">
        <v>382</v>
      </c>
      <c r="E108" s="3" t="s">
        <v>280</v>
      </c>
      <c r="F108" s="3" t="s">
        <v>281</v>
      </c>
      <c r="G108" s="4" t="s">
        <v>383</v>
      </c>
      <c r="H108" s="3" t="s">
        <v>19</v>
      </c>
      <c r="I108" s="2" t="s">
        <v>171</v>
      </c>
      <c r="J108" s="2" t="s">
        <v>381</v>
      </c>
      <c r="K108" s="5" t="s">
        <v>22</v>
      </c>
      <c r="L108" s="3"/>
    </row>
    <row r="109" customFormat="false" ht="23.85" hidden="false" customHeight="false" outlineLevel="0" collapsed="false">
      <c r="A109" s="2" t="s">
        <v>12</v>
      </c>
      <c r="B109" s="2" t="s">
        <v>380</v>
      </c>
      <c r="C109" s="2" t="s">
        <v>22</v>
      </c>
      <c r="D109" s="2" t="s">
        <v>384</v>
      </c>
      <c r="E109" s="3" t="s">
        <v>284</v>
      </c>
      <c r="F109" s="3" t="s">
        <v>25</v>
      </c>
      <c r="G109" s="4" t="s">
        <v>385</v>
      </c>
      <c r="H109" s="3" t="s">
        <v>19</v>
      </c>
      <c r="I109" s="2" t="s">
        <v>171</v>
      </c>
      <c r="J109" s="2" t="s">
        <v>381</v>
      </c>
      <c r="K109" s="5" t="s">
        <v>22</v>
      </c>
      <c r="L109" s="3"/>
    </row>
    <row r="110" customFormat="false" ht="23.85" hidden="false" customHeight="false" outlineLevel="0" collapsed="false">
      <c r="A110" s="2" t="s">
        <v>12</v>
      </c>
      <c r="B110" s="2" t="s">
        <v>380</v>
      </c>
      <c r="C110" s="2" t="s">
        <v>22</v>
      </c>
      <c r="D110" s="2" t="s">
        <v>386</v>
      </c>
      <c r="E110" s="3" t="s">
        <v>387</v>
      </c>
      <c r="F110" s="3" t="s">
        <v>35</v>
      </c>
      <c r="G110" s="4" t="s">
        <v>388</v>
      </c>
      <c r="H110" s="3" t="s">
        <v>92</v>
      </c>
      <c r="I110" s="2" t="s">
        <v>389</v>
      </c>
      <c r="J110" s="2" t="s">
        <v>381</v>
      </c>
      <c r="K110" s="6" t="s">
        <v>30</v>
      </c>
      <c r="L110" s="3" t="s">
        <v>390</v>
      </c>
    </row>
    <row r="111" customFormat="false" ht="23.85" hidden="false" customHeight="false" outlineLevel="0" collapsed="false">
      <c r="A111" s="2" t="s">
        <v>12</v>
      </c>
      <c r="B111" s="2" t="s">
        <v>380</v>
      </c>
      <c r="C111" s="2" t="s">
        <v>22</v>
      </c>
      <c r="D111" s="2" t="s">
        <v>391</v>
      </c>
      <c r="E111" s="3" t="s">
        <v>292</v>
      </c>
      <c r="F111" s="3" t="s">
        <v>25</v>
      </c>
      <c r="G111" s="4" t="s">
        <v>392</v>
      </c>
      <c r="H111" s="3" t="s">
        <v>19</v>
      </c>
      <c r="I111" s="2" t="s">
        <v>171</v>
      </c>
      <c r="J111" s="2" t="s">
        <v>381</v>
      </c>
      <c r="K111" s="6" t="s">
        <v>30</v>
      </c>
      <c r="L111" s="3"/>
    </row>
    <row r="112" customFormat="false" ht="23.85" hidden="false" customHeight="false" outlineLevel="0" collapsed="false">
      <c r="A112" s="2" t="s">
        <v>12</v>
      </c>
      <c r="B112" s="2" t="s">
        <v>393</v>
      </c>
      <c r="C112" s="2" t="s">
        <v>22</v>
      </c>
      <c r="D112" s="2" t="s">
        <v>394</v>
      </c>
      <c r="E112" s="3" t="s">
        <v>280</v>
      </c>
      <c r="F112" s="3" t="s">
        <v>281</v>
      </c>
      <c r="G112" s="4" t="s">
        <v>395</v>
      </c>
      <c r="H112" s="3" t="s">
        <v>19</v>
      </c>
      <c r="I112" s="2" t="s">
        <v>183</v>
      </c>
      <c r="J112" s="2" t="s">
        <v>396</v>
      </c>
      <c r="K112" s="5" t="s">
        <v>22</v>
      </c>
      <c r="L112" s="3"/>
    </row>
    <row r="113" customFormat="false" ht="23.85" hidden="false" customHeight="false" outlineLevel="0" collapsed="false">
      <c r="A113" s="2" t="s">
        <v>12</v>
      </c>
      <c r="B113" s="2" t="s">
        <v>393</v>
      </c>
      <c r="C113" s="2" t="s">
        <v>22</v>
      </c>
      <c r="D113" s="2" t="s">
        <v>397</v>
      </c>
      <c r="E113" s="3" t="s">
        <v>284</v>
      </c>
      <c r="F113" s="3" t="s">
        <v>25</v>
      </c>
      <c r="G113" s="4" t="s">
        <v>398</v>
      </c>
      <c r="H113" s="3" t="s">
        <v>19</v>
      </c>
      <c r="I113" s="2" t="s">
        <v>183</v>
      </c>
      <c r="J113" s="2" t="s">
        <v>396</v>
      </c>
      <c r="K113" s="5" t="s">
        <v>22</v>
      </c>
      <c r="L113" s="3"/>
    </row>
    <row r="114" customFormat="false" ht="23.85" hidden="false" customHeight="false" outlineLevel="0" collapsed="false">
      <c r="A114" s="2" t="s">
        <v>12</v>
      </c>
      <c r="B114" s="2" t="s">
        <v>393</v>
      </c>
      <c r="C114" s="2" t="s">
        <v>22</v>
      </c>
      <c r="D114" s="2" t="s">
        <v>399</v>
      </c>
      <c r="E114" s="3" t="s">
        <v>292</v>
      </c>
      <c r="F114" s="3" t="s">
        <v>25</v>
      </c>
      <c r="G114" s="4" t="s">
        <v>400</v>
      </c>
      <c r="H114" s="3" t="s">
        <v>19</v>
      </c>
      <c r="I114" s="2" t="s">
        <v>183</v>
      </c>
      <c r="J114" s="2" t="s">
        <v>396</v>
      </c>
      <c r="K114" s="6" t="s">
        <v>30</v>
      </c>
      <c r="L114" s="3"/>
    </row>
    <row r="115" customFormat="false" ht="23.85" hidden="false" customHeight="false" outlineLevel="0" collapsed="false">
      <c r="A115" s="2" t="s">
        <v>12</v>
      </c>
      <c r="B115" s="2" t="s">
        <v>393</v>
      </c>
      <c r="C115" s="2" t="s">
        <v>22</v>
      </c>
      <c r="D115" s="2" t="s">
        <v>401</v>
      </c>
      <c r="E115" s="3" t="s">
        <v>292</v>
      </c>
      <c r="F115" s="3" t="s">
        <v>25</v>
      </c>
      <c r="G115" s="4" t="s">
        <v>402</v>
      </c>
      <c r="H115" s="3" t="s">
        <v>19</v>
      </c>
      <c r="I115" s="2" t="s">
        <v>183</v>
      </c>
      <c r="J115" s="2" t="s">
        <v>396</v>
      </c>
      <c r="K115" s="6" t="s">
        <v>30</v>
      </c>
      <c r="L115" s="3"/>
    </row>
    <row r="116" customFormat="false" ht="23.85" hidden="false" customHeight="false" outlineLevel="0" collapsed="false">
      <c r="A116" s="2" t="s">
        <v>12</v>
      </c>
      <c r="B116" s="2" t="s">
        <v>393</v>
      </c>
      <c r="C116" s="2" t="s">
        <v>22</v>
      </c>
      <c r="D116" s="2" t="s">
        <v>403</v>
      </c>
      <c r="E116" s="3" t="s">
        <v>316</v>
      </c>
      <c r="F116" s="3" t="s">
        <v>35</v>
      </c>
      <c r="G116" s="4" t="s">
        <v>404</v>
      </c>
      <c r="H116" s="3" t="s">
        <v>19</v>
      </c>
      <c r="I116" s="2" t="s">
        <v>183</v>
      </c>
      <c r="J116" s="2" t="s">
        <v>396</v>
      </c>
      <c r="K116" s="7" t="s">
        <v>37</v>
      </c>
      <c r="L116" s="3"/>
    </row>
    <row r="117" customFormat="false" ht="23.85" hidden="false" customHeight="false" outlineLevel="0" collapsed="false">
      <c r="A117" s="2" t="s">
        <v>12</v>
      </c>
      <c r="B117" s="2" t="s">
        <v>405</v>
      </c>
      <c r="C117" s="2" t="s">
        <v>22</v>
      </c>
      <c r="D117" s="2" t="s">
        <v>406</v>
      </c>
      <c r="E117" s="3" t="s">
        <v>97</v>
      </c>
      <c r="F117" s="3" t="s">
        <v>98</v>
      </c>
      <c r="G117" s="4" t="s">
        <v>407</v>
      </c>
      <c r="H117" s="3" t="s">
        <v>19</v>
      </c>
      <c r="I117" s="2" t="s">
        <v>408</v>
      </c>
      <c r="J117" s="2" t="s">
        <v>409</v>
      </c>
      <c r="K117" s="5" t="s">
        <v>22</v>
      </c>
      <c r="L117" s="3" t="s">
        <v>410</v>
      </c>
    </row>
    <row r="118" customFormat="false" ht="23.85" hidden="false" customHeight="false" outlineLevel="0" collapsed="false">
      <c r="A118" s="2" t="s">
        <v>12</v>
      </c>
      <c r="B118" s="2" t="s">
        <v>405</v>
      </c>
      <c r="C118" s="2" t="s">
        <v>22</v>
      </c>
      <c r="D118" s="2" t="s">
        <v>411</v>
      </c>
      <c r="E118" s="3" t="s">
        <v>280</v>
      </c>
      <c r="F118" s="3" t="s">
        <v>281</v>
      </c>
      <c r="G118" s="4" t="s">
        <v>412</v>
      </c>
      <c r="H118" s="3" t="s">
        <v>19</v>
      </c>
      <c r="I118" s="2" t="s">
        <v>413</v>
      </c>
      <c r="J118" s="2" t="s">
        <v>409</v>
      </c>
      <c r="K118" s="5" t="s">
        <v>22</v>
      </c>
      <c r="L118" s="3"/>
    </row>
    <row r="119" customFormat="false" ht="23.85" hidden="false" customHeight="false" outlineLevel="0" collapsed="false">
      <c r="A119" s="2" t="s">
        <v>12</v>
      </c>
      <c r="B119" s="2" t="s">
        <v>405</v>
      </c>
      <c r="C119" s="2" t="s">
        <v>22</v>
      </c>
      <c r="D119" s="2" t="s">
        <v>414</v>
      </c>
      <c r="E119" s="3" t="s">
        <v>284</v>
      </c>
      <c r="F119" s="3" t="s">
        <v>25</v>
      </c>
      <c r="G119" s="4" t="s">
        <v>415</v>
      </c>
      <c r="H119" s="3" t="s">
        <v>19</v>
      </c>
      <c r="I119" s="2" t="s">
        <v>413</v>
      </c>
      <c r="J119" s="2" t="s">
        <v>409</v>
      </c>
      <c r="K119" s="5" t="s">
        <v>22</v>
      </c>
      <c r="L119" s="3"/>
    </row>
    <row r="120" customFormat="false" ht="23.85" hidden="false" customHeight="false" outlineLevel="0" collapsed="false">
      <c r="A120" s="2" t="s">
        <v>12</v>
      </c>
      <c r="B120" s="2" t="s">
        <v>405</v>
      </c>
      <c r="C120" s="2" t="s">
        <v>22</v>
      </c>
      <c r="D120" s="2" t="s">
        <v>416</v>
      </c>
      <c r="E120" s="3" t="s">
        <v>292</v>
      </c>
      <c r="F120" s="3" t="s">
        <v>25</v>
      </c>
      <c r="G120" s="4" t="s">
        <v>417</v>
      </c>
      <c r="H120" s="3" t="s">
        <v>19</v>
      </c>
      <c r="I120" s="2" t="s">
        <v>413</v>
      </c>
      <c r="J120" s="2" t="s">
        <v>409</v>
      </c>
      <c r="K120" s="6" t="s">
        <v>30</v>
      </c>
      <c r="L120" s="3"/>
    </row>
    <row r="121" customFormat="false" ht="23.85" hidden="false" customHeight="false" outlineLevel="0" collapsed="false">
      <c r="A121" s="2" t="s">
        <v>12</v>
      </c>
      <c r="B121" s="2" t="s">
        <v>405</v>
      </c>
      <c r="C121" s="2" t="s">
        <v>22</v>
      </c>
      <c r="D121" s="2" t="s">
        <v>418</v>
      </c>
      <c r="E121" s="3" t="s">
        <v>316</v>
      </c>
      <c r="F121" s="3" t="s">
        <v>35</v>
      </c>
      <c r="G121" s="4" t="s">
        <v>419</v>
      </c>
      <c r="H121" s="3" t="s">
        <v>19</v>
      </c>
      <c r="I121" s="2" t="s">
        <v>413</v>
      </c>
      <c r="J121" s="2" t="s">
        <v>409</v>
      </c>
      <c r="K121" s="7" t="s">
        <v>37</v>
      </c>
      <c r="L121" s="3"/>
    </row>
    <row r="122" customFormat="false" ht="23.85" hidden="false" customHeight="false" outlineLevel="0" collapsed="false">
      <c r="A122" s="2" t="s">
        <v>12</v>
      </c>
      <c r="B122" s="2" t="s">
        <v>420</v>
      </c>
      <c r="C122" s="2" t="s">
        <v>22</v>
      </c>
      <c r="D122" s="2" t="s">
        <v>406</v>
      </c>
      <c r="E122" s="3" t="s">
        <v>97</v>
      </c>
      <c r="F122" s="3" t="s">
        <v>98</v>
      </c>
      <c r="G122" s="4" t="s">
        <v>407</v>
      </c>
      <c r="H122" s="3" t="s">
        <v>19</v>
      </c>
      <c r="I122" s="2" t="s">
        <v>408</v>
      </c>
      <c r="J122" s="2" t="s">
        <v>421</v>
      </c>
      <c r="K122" s="5" t="s">
        <v>22</v>
      </c>
      <c r="L122" s="3" t="s">
        <v>410</v>
      </c>
    </row>
    <row r="123" customFormat="false" ht="23.85" hidden="false" customHeight="false" outlineLevel="0" collapsed="false">
      <c r="A123" s="2" t="s">
        <v>12</v>
      </c>
      <c r="B123" s="2" t="s">
        <v>420</v>
      </c>
      <c r="C123" s="2" t="s">
        <v>22</v>
      </c>
      <c r="D123" s="2" t="s">
        <v>422</v>
      </c>
      <c r="E123" s="3" t="s">
        <v>423</v>
      </c>
      <c r="F123" s="3" t="s">
        <v>103</v>
      </c>
      <c r="G123" s="4" t="s">
        <v>424</v>
      </c>
      <c r="H123" s="3" t="s">
        <v>92</v>
      </c>
      <c r="I123" s="2" t="s">
        <v>425</v>
      </c>
      <c r="J123" s="2" t="s">
        <v>421</v>
      </c>
      <c r="K123" s="5" t="s">
        <v>22</v>
      </c>
      <c r="L123" s="3" t="s">
        <v>426</v>
      </c>
    </row>
    <row r="124" customFormat="false" ht="23.85" hidden="false" customHeight="false" outlineLevel="0" collapsed="false">
      <c r="A124" s="2" t="s">
        <v>12</v>
      </c>
      <c r="B124" s="2" t="s">
        <v>420</v>
      </c>
      <c r="C124" s="2" t="s">
        <v>22</v>
      </c>
      <c r="D124" s="2" t="s">
        <v>427</v>
      </c>
      <c r="E124" s="3" t="s">
        <v>428</v>
      </c>
      <c r="F124" s="3" t="s">
        <v>281</v>
      </c>
      <c r="G124" s="4" t="s">
        <v>429</v>
      </c>
      <c r="H124" s="3" t="s">
        <v>92</v>
      </c>
      <c r="I124" s="2" t="s">
        <v>425</v>
      </c>
      <c r="J124" s="2" t="s">
        <v>421</v>
      </c>
      <c r="K124" s="5" t="s">
        <v>22</v>
      </c>
      <c r="L124" s="3" t="s">
        <v>430</v>
      </c>
    </row>
    <row r="125" customFormat="false" ht="23.85" hidden="false" customHeight="false" outlineLevel="0" collapsed="false">
      <c r="A125" s="2" t="s">
        <v>12</v>
      </c>
      <c r="B125" s="2" t="s">
        <v>420</v>
      </c>
      <c r="C125" s="2" t="s">
        <v>22</v>
      </c>
      <c r="D125" s="2" t="s">
        <v>431</v>
      </c>
      <c r="E125" s="3" t="s">
        <v>284</v>
      </c>
      <c r="F125" s="3" t="s">
        <v>25</v>
      </c>
      <c r="G125" s="4" t="s">
        <v>432</v>
      </c>
      <c r="H125" s="3" t="s">
        <v>19</v>
      </c>
      <c r="I125" s="2" t="s">
        <v>408</v>
      </c>
      <c r="J125" s="2" t="s">
        <v>421</v>
      </c>
      <c r="K125" s="5" t="s">
        <v>22</v>
      </c>
      <c r="L125" s="3" t="s">
        <v>433</v>
      </c>
    </row>
    <row r="126" customFormat="false" ht="23.85" hidden="false" customHeight="false" outlineLevel="0" collapsed="false">
      <c r="A126" s="2" t="s">
        <v>12</v>
      </c>
      <c r="B126" s="2" t="s">
        <v>420</v>
      </c>
      <c r="C126" s="2" t="s">
        <v>22</v>
      </c>
      <c r="D126" s="2" t="s">
        <v>434</v>
      </c>
      <c r="E126" s="3" t="s">
        <v>435</v>
      </c>
      <c r="F126" s="3" t="s">
        <v>35</v>
      </c>
      <c r="G126" s="4" t="s">
        <v>436</v>
      </c>
      <c r="H126" s="3" t="s">
        <v>92</v>
      </c>
      <c r="I126" s="2" t="s">
        <v>437</v>
      </c>
      <c r="J126" s="2" t="s">
        <v>421</v>
      </c>
      <c r="K126" s="6" t="s">
        <v>30</v>
      </c>
      <c r="L126" s="3" t="s">
        <v>438</v>
      </c>
    </row>
    <row r="127" customFormat="false" ht="23.85" hidden="false" customHeight="false" outlineLevel="0" collapsed="false">
      <c r="A127" s="2" t="s">
        <v>12</v>
      </c>
      <c r="B127" s="2" t="s">
        <v>439</v>
      </c>
      <c r="C127" s="2" t="s">
        <v>22</v>
      </c>
      <c r="D127" s="2" t="s">
        <v>440</v>
      </c>
      <c r="E127" s="3" t="s">
        <v>441</v>
      </c>
      <c r="F127" s="3" t="s">
        <v>281</v>
      </c>
      <c r="G127" s="4" t="s">
        <v>442</v>
      </c>
      <c r="H127" s="3" t="s">
        <v>92</v>
      </c>
      <c r="I127" s="2" t="s">
        <v>443</v>
      </c>
      <c r="J127" s="2" t="s">
        <v>444</v>
      </c>
      <c r="K127" s="5" t="s">
        <v>22</v>
      </c>
      <c r="L127" s="3" t="s">
        <v>445</v>
      </c>
    </row>
    <row r="128" customFormat="false" ht="23.85" hidden="false" customHeight="false" outlineLevel="0" collapsed="false">
      <c r="A128" s="2" t="s">
        <v>12</v>
      </c>
      <c r="B128" s="2" t="s">
        <v>439</v>
      </c>
      <c r="C128" s="2" t="s">
        <v>22</v>
      </c>
      <c r="D128" s="2" t="s">
        <v>446</v>
      </c>
      <c r="E128" s="3" t="s">
        <v>284</v>
      </c>
      <c r="F128" s="3" t="s">
        <v>25</v>
      </c>
      <c r="G128" s="4" t="s">
        <v>447</v>
      </c>
      <c r="H128" s="3" t="s">
        <v>19</v>
      </c>
      <c r="I128" s="2" t="s">
        <v>448</v>
      </c>
      <c r="J128" s="2" t="s">
        <v>444</v>
      </c>
      <c r="K128" s="5" t="s">
        <v>22</v>
      </c>
      <c r="L128" s="3"/>
    </row>
    <row r="129" customFormat="false" ht="23.85" hidden="false" customHeight="false" outlineLevel="0" collapsed="false">
      <c r="A129" s="2" t="s">
        <v>12</v>
      </c>
      <c r="B129" s="2" t="s">
        <v>439</v>
      </c>
      <c r="C129" s="2" t="s">
        <v>22</v>
      </c>
      <c r="D129" s="2" t="s">
        <v>449</v>
      </c>
      <c r="E129" s="3" t="s">
        <v>450</v>
      </c>
      <c r="F129" s="3" t="s">
        <v>35</v>
      </c>
      <c r="G129" s="4" t="s">
        <v>451</v>
      </c>
      <c r="H129" s="3" t="s">
        <v>92</v>
      </c>
      <c r="I129" s="2" t="s">
        <v>452</v>
      </c>
      <c r="J129" s="2" t="s">
        <v>444</v>
      </c>
      <c r="K129" s="6" t="s">
        <v>30</v>
      </c>
      <c r="L129" s="3" t="s">
        <v>453</v>
      </c>
    </row>
    <row r="130" customFormat="false" ht="23.85" hidden="false" customHeight="false" outlineLevel="0" collapsed="false">
      <c r="A130" s="2" t="s">
        <v>12</v>
      </c>
      <c r="B130" s="2" t="s">
        <v>439</v>
      </c>
      <c r="C130" s="2" t="s">
        <v>22</v>
      </c>
      <c r="D130" s="2" t="s">
        <v>454</v>
      </c>
      <c r="E130" s="3" t="s">
        <v>292</v>
      </c>
      <c r="F130" s="3" t="s">
        <v>25</v>
      </c>
      <c r="G130" s="4" t="s">
        <v>455</v>
      </c>
      <c r="H130" s="3" t="s">
        <v>19</v>
      </c>
      <c r="I130" s="2" t="s">
        <v>448</v>
      </c>
      <c r="J130" s="2" t="s">
        <v>444</v>
      </c>
      <c r="K130" s="6" t="s">
        <v>30</v>
      </c>
      <c r="L130" s="3"/>
    </row>
    <row r="131" customFormat="false" ht="23.85" hidden="false" customHeight="false" outlineLevel="0" collapsed="false">
      <c r="A131" s="2" t="s">
        <v>12</v>
      </c>
      <c r="B131" s="2" t="s">
        <v>439</v>
      </c>
      <c r="C131" s="2" t="s">
        <v>22</v>
      </c>
      <c r="D131" s="2" t="s">
        <v>456</v>
      </c>
      <c r="E131" s="3" t="s">
        <v>292</v>
      </c>
      <c r="F131" s="3" t="s">
        <v>25</v>
      </c>
      <c r="G131" s="4" t="s">
        <v>457</v>
      </c>
      <c r="H131" s="3" t="s">
        <v>19</v>
      </c>
      <c r="I131" s="2" t="s">
        <v>448</v>
      </c>
      <c r="J131" s="2" t="s">
        <v>444</v>
      </c>
      <c r="K131" s="6" t="s">
        <v>30</v>
      </c>
      <c r="L131" s="3" t="s">
        <v>458</v>
      </c>
    </row>
    <row r="132" customFormat="false" ht="23.85" hidden="false" customHeight="false" outlineLevel="0" collapsed="false">
      <c r="A132" s="2" t="s">
        <v>12</v>
      </c>
      <c r="B132" s="2" t="s">
        <v>459</v>
      </c>
      <c r="C132" s="2" t="s">
        <v>22</v>
      </c>
      <c r="D132" s="2" t="s">
        <v>460</v>
      </c>
      <c r="E132" s="3" t="s">
        <v>461</v>
      </c>
      <c r="F132" s="3" t="s">
        <v>462</v>
      </c>
      <c r="G132" s="4" t="s">
        <v>463</v>
      </c>
      <c r="H132" s="3" t="s">
        <v>92</v>
      </c>
      <c r="I132" s="2" t="s">
        <v>464</v>
      </c>
      <c r="J132" s="2" t="s">
        <v>465</v>
      </c>
      <c r="K132" s="5" t="s">
        <v>22</v>
      </c>
      <c r="L132" s="3"/>
    </row>
    <row r="133" customFormat="false" ht="23.85" hidden="false" customHeight="false" outlineLevel="0" collapsed="false">
      <c r="A133" s="8" t="s">
        <v>12</v>
      </c>
      <c r="B133" s="8" t="s">
        <v>459</v>
      </c>
      <c r="C133" s="8" t="s">
        <v>22</v>
      </c>
      <c r="D133" s="8" t="s">
        <v>466</v>
      </c>
      <c r="E133" s="9" t="s">
        <v>467</v>
      </c>
      <c r="F133" s="9" t="s">
        <v>25</v>
      </c>
      <c r="G133" s="8" t="s">
        <v>468</v>
      </c>
      <c r="H133" s="9" t="s">
        <v>469</v>
      </c>
      <c r="I133" s="8" t="s">
        <v>464</v>
      </c>
      <c r="J133" s="8" t="s">
        <v>465</v>
      </c>
      <c r="K133" s="10" t="s">
        <v>22</v>
      </c>
      <c r="L133" s="9" t="s">
        <v>470</v>
      </c>
    </row>
    <row r="134" customFormat="false" ht="23.85" hidden="false" customHeight="false" outlineLevel="0" collapsed="false">
      <c r="A134" s="2" t="s">
        <v>12</v>
      </c>
      <c r="B134" s="2" t="s">
        <v>459</v>
      </c>
      <c r="C134" s="2" t="s">
        <v>22</v>
      </c>
      <c r="D134" s="2" t="s">
        <v>471</v>
      </c>
      <c r="E134" s="3" t="s">
        <v>472</v>
      </c>
      <c r="F134" s="3" t="s">
        <v>473</v>
      </c>
      <c r="G134" s="4" t="s">
        <v>474</v>
      </c>
      <c r="H134" s="3" t="s">
        <v>92</v>
      </c>
      <c r="I134" s="2" t="s">
        <v>464</v>
      </c>
      <c r="J134" s="2" t="s">
        <v>465</v>
      </c>
      <c r="K134" s="6" t="s">
        <v>30</v>
      </c>
      <c r="L134" s="3"/>
    </row>
    <row r="135" customFormat="false" ht="23.85" hidden="false" customHeight="false" outlineLevel="0" collapsed="false">
      <c r="A135" s="2" t="s">
        <v>12</v>
      </c>
      <c r="B135" s="2" t="s">
        <v>459</v>
      </c>
      <c r="C135" s="2" t="s">
        <v>22</v>
      </c>
      <c r="D135" s="2" t="s">
        <v>475</v>
      </c>
      <c r="E135" s="3" t="s">
        <v>476</v>
      </c>
      <c r="F135" s="3" t="s">
        <v>477</v>
      </c>
      <c r="G135" s="4" t="s">
        <v>478</v>
      </c>
      <c r="H135" s="3" t="s">
        <v>92</v>
      </c>
      <c r="I135" s="2" t="s">
        <v>464</v>
      </c>
      <c r="J135" s="2" t="s">
        <v>465</v>
      </c>
      <c r="K135" s="6" t="s">
        <v>30</v>
      </c>
      <c r="L135" s="3" t="s">
        <v>479</v>
      </c>
    </row>
    <row r="136" customFormat="false" ht="23.85" hidden="false" customHeight="false" outlineLevel="0" collapsed="false">
      <c r="A136" s="2" t="s">
        <v>12</v>
      </c>
      <c r="B136" s="2" t="s">
        <v>459</v>
      </c>
      <c r="C136" s="2" t="s">
        <v>22</v>
      </c>
      <c r="D136" s="2" t="s">
        <v>480</v>
      </c>
      <c r="E136" s="3" t="s">
        <v>481</v>
      </c>
      <c r="F136" s="3" t="s">
        <v>35</v>
      </c>
      <c r="G136" s="4" t="s">
        <v>482</v>
      </c>
      <c r="H136" s="3" t="s">
        <v>92</v>
      </c>
      <c r="I136" s="2" t="s">
        <v>464</v>
      </c>
      <c r="J136" s="2" t="s">
        <v>465</v>
      </c>
      <c r="K136" s="7" t="s">
        <v>37</v>
      </c>
      <c r="L136" s="3"/>
    </row>
    <row r="137" customFormat="false" ht="23.85" hidden="false" customHeight="false" outlineLevel="0" collapsed="false">
      <c r="A137" s="2" t="s">
        <v>12</v>
      </c>
      <c r="B137" s="2" t="s">
        <v>459</v>
      </c>
      <c r="C137" s="2" t="s">
        <v>22</v>
      </c>
      <c r="D137" s="2" t="s">
        <v>483</v>
      </c>
      <c r="E137" s="3" t="s">
        <v>484</v>
      </c>
      <c r="F137" s="3" t="s">
        <v>25</v>
      </c>
      <c r="G137" s="4" t="s">
        <v>485</v>
      </c>
      <c r="H137" s="3" t="s">
        <v>92</v>
      </c>
      <c r="I137" s="2" t="s">
        <v>464</v>
      </c>
      <c r="J137" s="2" t="s">
        <v>465</v>
      </c>
      <c r="K137" s="7" t="s">
        <v>37</v>
      </c>
      <c r="L137" s="3"/>
    </row>
    <row r="138" customFormat="false" ht="23.85" hidden="false" customHeight="false" outlineLevel="0" collapsed="false">
      <c r="A138" s="2" t="s">
        <v>12</v>
      </c>
      <c r="B138" s="2" t="s">
        <v>486</v>
      </c>
      <c r="C138" s="2" t="s">
        <v>487</v>
      </c>
      <c r="D138" s="2" t="s">
        <v>488</v>
      </c>
      <c r="E138" s="3" t="s">
        <v>489</v>
      </c>
      <c r="F138" s="3" t="s">
        <v>462</v>
      </c>
      <c r="G138" s="4" t="s">
        <v>490</v>
      </c>
      <c r="H138" s="3" t="s">
        <v>92</v>
      </c>
      <c r="I138" s="2" t="s">
        <v>491</v>
      </c>
      <c r="J138" s="2" t="s">
        <v>492</v>
      </c>
      <c r="K138" s="5" t="s">
        <v>22</v>
      </c>
      <c r="L138" s="3" t="s">
        <v>493</v>
      </c>
    </row>
    <row r="139" customFormat="false" ht="23.85" hidden="false" customHeight="false" outlineLevel="0" collapsed="false">
      <c r="A139" s="2" t="s">
        <v>12</v>
      </c>
      <c r="B139" s="2" t="s">
        <v>486</v>
      </c>
      <c r="C139" s="2" t="s">
        <v>487</v>
      </c>
      <c r="D139" s="2" t="s">
        <v>494</v>
      </c>
      <c r="E139" s="3" t="s">
        <v>284</v>
      </c>
      <c r="F139" s="3" t="s">
        <v>25</v>
      </c>
      <c r="G139" s="4" t="s">
        <v>495</v>
      </c>
      <c r="H139" s="3" t="s">
        <v>19</v>
      </c>
      <c r="I139" s="2" t="s">
        <v>496</v>
      </c>
      <c r="J139" s="2" t="s">
        <v>492</v>
      </c>
      <c r="K139" s="5" t="s">
        <v>22</v>
      </c>
      <c r="L139" s="3"/>
    </row>
    <row r="140" customFormat="false" ht="23.85" hidden="false" customHeight="false" outlineLevel="0" collapsed="false">
      <c r="A140" s="2" t="s">
        <v>12</v>
      </c>
      <c r="B140" s="2" t="s">
        <v>486</v>
      </c>
      <c r="C140" s="2" t="s">
        <v>487</v>
      </c>
      <c r="D140" s="2" t="s">
        <v>497</v>
      </c>
      <c r="E140" s="3" t="s">
        <v>498</v>
      </c>
      <c r="F140" s="3" t="s">
        <v>35</v>
      </c>
      <c r="G140" s="4" t="s">
        <v>499</v>
      </c>
      <c r="H140" s="3" t="s">
        <v>19</v>
      </c>
      <c r="I140" s="2" t="s">
        <v>496</v>
      </c>
      <c r="J140" s="2" t="s">
        <v>492</v>
      </c>
      <c r="K140" s="6" t="s">
        <v>30</v>
      </c>
      <c r="L140" s="3"/>
    </row>
    <row r="141" customFormat="false" ht="23.85" hidden="false" customHeight="false" outlineLevel="0" collapsed="false">
      <c r="A141" s="2" t="s">
        <v>12</v>
      </c>
      <c r="B141" s="2" t="s">
        <v>486</v>
      </c>
      <c r="C141" s="2" t="s">
        <v>487</v>
      </c>
      <c r="D141" s="2" t="s">
        <v>500</v>
      </c>
      <c r="E141" s="3" t="s">
        <v>292</v>
      </c>
      <c r="F141" s="3" t="s">
        <v>25</v>
      </c>
      <c r="G141" s="4" t="s">
        <v>501</v>
      </c>
      <c r="H141" s="3" t="s">
        <v>19</v>
      </c>
      <c r="I141" s="2" t="s">
        <v>496</v>
      </c>
      <c r="J141" s="2" t="s">
        <v>492</v>
      </c>
      <c r="K141" s="6" t="s">
        <v>30</v>
      </c>
      <c r="L141" s="3"/>
    </row>
    <row r="142" customFormat="false" ht="23.85" hidden="false" customHeight="false" outlineLevel="0" collapsed="false">
      <c r="A142" s="2" t="s">
        <v>12</v>
      </c>
      <c r="B142" s="2" t="s">
        <v>486</v>
      </c>
      <c r="C142" s="2" t="s">
        <v>487</v>
      </c>
      <c r="D142" s="2" t="s">
        <v>357</v>
      </c>
      <c r="E142" s="3" t="s">
        <v>292</v>
      </c>
      <c r="F142" s="3" t="s">
        <v>25</v>
      </c>
      <c r="G142" s="4" t="s">
        <v>358</v>
      </c>
      <c r="H142" s="3" t="s">
        <v>19</v>
      </c>
      <c r="I142" s="2" t="s">
        <v>350</v>
      </c>
      <c r="J142" s="2" t="s">
        <v>492</v>
      </c>
      <c r="K142" s="6" t="s">
        <v>30</v>
      </c>
      <c r="L142" s="3" t="s">
        <v>359</v>
      </c>
    </row>
    <row r="143" customFormat="false" ht="23.85" hidden="false" customHeight="false" outlineLevel="0" collapsed="false">
      <c r="A143" s="2" t="s">
        <v>12</v>
      </c>
      <c r="B143" s="2" t="s">
        <v>502</v>
      </c>
      <c r="C143" s="2" t="s">
        <v>487</v>
      </c>
      <c r="D143" s="2" t="s">
        <v>503</v>
      </c>
      <c r="E143" s="3" t="s">
        <v>131</v>
      </c>
      <c r="F143" s="3" t="s">
        <v>25</v>
      </c>
      <c r="G143" s="4" t="s">
        <v>504</v>
      </c>
      <c r="H143" s="3" t="s">
        <v>505</v>
      </c>
      <c r="I143" s="2" t="s">
        <v>506</v>
      </c>
      <c r="J143" s="2" t="s">
        <v>507</v>
      </c>
      <c r="K143" s="5" t="s">
        <v>22</v>
      </c>
      <c r="L143" s="3" t="s">
        <v>508</v>
      </c>
    </row>
    <row r="144" customFormat="false" ht="23.85" hidden="false" customHeight="false" outlineLevel="0" collapsed="false">
      <c r="A144" s="8" t="s">
        <v>12</v>
      </c>
      <c r="B144" s="8" t="s">
        <v>502</v>
      </c>
      <c r="C144" s="8" t="s">
        <v>487</v>
      </c>
      <c r="D144" s="8" t="s">
        <v>509</v>
      </c>
      <c r="E144" s="9" t="s">
        <v>510</v>
      </c>
      <c r="F144" s="9" t="s">
        <v>35</v>
      </c>
      <c r="G144" s="8" t="s">
        <v>468</v>
      </c>
      <c r="H144" s="9" t="s">
        <v>469</v>
      </c>
      <c r="I144" s="8" t="s">
        <v>511</v>
      </c>
      <c r="J144" s="8" t="s">
        <v>507</v>
      </c>
      <c r="K144" s="11" t="s">
        <v>37</v>
      </c>
      <c r="L144" s="9" t="s">
        <v>512</v>
      </c>
    </row>
    <row r="145" customFormat="false" ht="23.85" hidden="false" customHeight="false" outlineLevel="0" collapsed="false">
      <c r="A145" s="2" t="s">
        <v>12</v>
      </c>
      <c r="B145" s="2" t="s">
        <v>513</v>
      </c>
      <c r="C145" s="2" t="s">
        <v>487</v>
      </c>
      <c r="D145" s="2" t="s">
        <v>514</v>
      </c>
      <c r="E145" s="3" t="s">
        <v>515</v>
      </c>
      <c r="F145" s="3" t="s">
        <v>25</v>
      </c>
      <c r="G145" s="4" t="s">
        <v>516</v>
      </c>
      <c r="H145" s="3" t="s">
        <v>92</v>
      </c>
      <c r="I145" s="2" t="s">
        <v>517</v>
      </c>
      <c r="J145" s="2" t="s">
        <v>518</v>
      </c>
      <c r="K145" s="7" t="s">
        <v>37</v>
      </c>
      <c r="L145" s="3" t="s">
        <v>519</v>
      </c>
    </row>
    <row r="146" customFormat="false" ht="23.85" hidden="false" customHeight="false" outlineLevel="0" collapsed="false">
      <c r="A146" s="2" t="s">
        <v>520</v>
      </c>
      <c r="B146" s="2" t="s">
        <v>521</v>
      </c>
      <c r="C146" s="2" t="s">
        <v>14</v>
      </c>
      <c r="D146" s="2" t="s">
        <v>522</v>
      </c>
      <c r="E146" s="3" t="s">
        <v>523</v>
      </c>
      <c r="F146" s="3" t="s">
        <v>524</v>
      </c>
      <c r="G146" s="4" t="s">
        <v>525</v>
      </c>
      <c r="H146" s="3" t="s">
        <v>92</v>
      </c>
      <c r="I146" s="2" t="s">
        <v>526</v>
      </c>
      <c r="J146" s="2" t="s">
        <v>527</v>
      </c>
      <c r="K146" s="5" t="s">
        <v>22</v>
      </c>
      <c r="L146" s="3"/>
    </row>
    <row r="147" customFormat="false" ht="23.85" hidden="false" customHeight="false" outlineLevel="0" collapsed="false">
      <c r="A147" s="2" t="s">
        <v>520</v>
      </c>
      <c r="B147" s="2" t="s">
        <v>521</v>
      </c>
      <c r="C147" s="2" t="s">
        <v>14</v>
      </c>
      <c r="D147" s="2" t="s">
        <v>528</v>
      </c>
      <c r="E147" s="3" t="s">
        <v>529</v>
      </c>
      <c r="F147" s="3" t="s">
        <v>126</v>
      </c>
      <c r="G147" s="4" t="s">
        <v>530</v>
      </c>
      <c r="H147" s="3" t="s">
        <v>92</v>
      </c>
      <c r="I147" s="2" t="s">
        <v>526</v>
      </c>
      <c r="J147" s="2" t="s">
        <v>527</v>
      </c>
      <c r="K147" s="5" t="s">
        <v>22</v>
      </c>
      <c r="L147" s="3"/>
    </row>
    <row r="148" customFormat="false" ht="23.85" hidden="false" customHeight="false" outlineLevel="0" collapsed="false">
      <c r="A148" s="2" t="s">
        <v>520</v>
      </c>
      <c r="B148" s="2" t="s">
        <v>521</v>
      </c>
      <c r="C148" s="2" t="s">
        <v>14</v>
      </c>
      <c r="D148" s="2" t="s">
        <v>531</v>
      </c>
      <c r="E148" s="3" t="s">
        <v>532</v>
      </c>
      <c r="F148" s="3" t="s">
        <v>65</v>
      </c>
      <c r="G148" s="4" t="s">
        <v>533</v>
      </c>
      <c r="H148" s="3" t="s">
        <v>92</v>
      </c>
      <c r="I148" s="2" t="s">
        <v>526</v>
      </c>
      <c r="J148" s="2" t="s">
        <v>527</v>
      </c>
      <c r="K148" s="5" t="s">
        <v>22</v>
      </c>
      <c r="L148" s="3"/>
    </row>
    <row r="149" customFormat="false" ht="23.85" hidden="false" customHeight="false" outlineLevel="0" collapsed="false">
      <c r="A149" s="2" t="s">
        <v>520</v>
      </c>
      <c r="B149" s="2" t="s">
        <v>521</v>
      </c>
      <c r="C149" s="2" t="s">
        <v>14</v>
      </c>
      <c r="D149" s="2" t="s">
        <v>534</v>
      </c>
      <c r="E149" s="3" t="s">
        <v>131</v>
      </c>
      <c r="F149" s="3" t="s">
        <v>25</v>
      </c>
      <c r="G149" s="4" t="s">
        <v>535</v>
      </c>
      <c r="H149" s="3" t="s">
        <v>92</v>
      </c>
      <c r="I149" s="2" t="s">
        <v>536</v>
      </c>
      <c r="J149" s="2" t="s">
        <v>527</v>
      </c>
      <c r="K149" s="5" t="s">
        <v>22</v>
      </c>
      <c r="L149" s="3"/>
    </row>
    <row r="150" customFormat="false" ht="23.85" hidden="false" customHeight="false" outlineLevel="0" collapsed="false">
      <c r="A150" s="2" t="s">
        <v>520</v>
      </c>
      <c r="B150" s="2" t="s">
        <v>521</v>
      </c>
      <c r="C150" s="2" t="s">
        <v>14</v>
      </c>
      <c r="D150" s="2" t="s">
        <v>537</v>
      </c>
      <c r="E150" s="3" t="s">
        <v>538</v>
      </c>
      <c r="F150" s="3" t="s">
        <v>35</v>
      </c>
      <c r="G150" s="4" t="s">
        <v>539</v>
      </c>
      <c r="H150" s="3" t="s">
        <v>92</v>
      </c>
      <c r="I150" s="2" t="s">
        <v>526</v>
      </c>
      <c r="J150" s="2" t="s">
        <v>527</v>
      </c>
      <c r="K150" s="6" t="s">
        <v>30</v>
      </c>
      <c r="L150" s="3"/>
    </row>
    <row r="151" customFormat="false" ht="23.85" hidden="false" customHeight="false" outlineLevel="0" collapsed="false">
      <c r="A151" s="2" t="s">
        <v>520</v>
      </c>
      <c r="B151" s="2" t="s">
        <v>540</v>
      </c>
      <c r="C151" s="2" t="s">
        <v>14</v>
      </c>
      <c r="D151" s="2" t="s">
        <v>541</v>
      </c>
      <c r="E151" s="3" t="s">
        <v>542</v>
      </c>
      <c r="F151" s="3" t="s">
        <v>524</v>
      </c>
      <c r="G151" s="4" t="s">
        <v>543</v>
      </c>
      <c r="H151" s="3" t="s">
        <v>92</v>
      </c>
      <c r="I151" s="2" t="s">
        <v>544</v>
      </c>
      <c r="J151" s="2" t="s">
        <v>545</v>
      </c>
      <c r="K151" s="5" t="s">
        <v>22</v>
      </c>
      <c r="L151" s="3"/>
    </row>
    <row r="152" customFormat="false" ht="23.85" hidden="false" customHeight="false" outlineLevel="0" collapsed="false">
      <c r="A152" s="2" t="s">
        <v>520</v>
      </c>
      <c r="B152" s="2" t="s">
        <v>540</v>
      </c>
      <c r="C152" s="2" t="s">
        <v>14</v>
      </c>
      <c r="D152" s="2" t="s">
        <v>546</v>
      </c>
      <c r="E152" s="3" t="s">
        <v>125</v>
      </c>
      <c r="F152" s="3" t="s">
        <v>126</v>
      </c>
      <c r="G152" s="4" t="s">
        <v>547</v>
      </c>
      <c r="H152" s="3" t="s">
        <v>92</v>
      </c>
      <c r="I152" s="2" t="s">
        <v>544</v>
      </c>
      <c r="J152" s="2" t="s">
        <v>545</v>
      </c>
      <c r="K152" s="5" t="s">
        <v>22</v>
      </c>
      <c r="L152" s="3"/>
    </row>
    <row r="153" customFormat="false" ht="23.85" hidden="false" customHeight="false" outlineLevel="0" collapsed="false">
      <c r="A153" s="2" t="s">
        <v>520</v>
      </c>
      <c r="B153" s="2" t="s">
        <v>540</v>
      </c>
      <c r="C153" s="2" t="s">
        <v>14</v>
      </c>
      <c r="D153" s="2" t="s">
        <v>548</v>
      </c>
      <c r="E153" s="3" t="s">
        <v>549</v>
      </c>
      <c r="F153" s="3" t="s">
        <v>65</v>
      </c>
      <c r="G153" s="4" t="s">
        <v>550</v>
      </c>
      <c r="H153" s="3" t="s">
        <v>92</v>
      </c>
      <c r="I153" s="2" t="s">
        <v>544</v>
      </c>
      <c r="J153" s="2" t="s">
        <v>545</v>
      </c>
      <c r="K153" s="5" t="s">
        <v>22</v>
      </c>
      <c r="L153" s="3"/>
    </row>
    <row r="154" customFormat="false" ht="23.85" hidden="false" customHeight="false" outlineLevel="0" collapsed="false">
      <c r="A154" s="2" t="s">
        <v>520</v>
      </c>
      <c r="B154" s="2" t="s">
        <v>540</v>
      </c>
      <c r="C154" s="2" t="s">
        <v>14</v>
      </c>
      <c r="D154" s="2" t="s">
        <v>551</v>
      </c>
      <c r="E154" s="3" t="s">
        <v>131</v>
      </c>
      <c r="F154" s="3" t="s">
        <v>25</v>
      </c>
      <c r="G154" s="4" t="s">
        <v>552</v>
      </c>
      <c r="H154" s="3" t="s">
        <v>92</v>
      </c>
      <c r="I154" s="2" t="s">
        <v>553</v>
      </c>
      <c r="J154" s="2" t="s">
        <v>545</v>
      </c>
      <c r="K154" s="5" t="s">
        <v>22</v>
      </c>
      <c r="L154" s="3"/>
    </row>
    <row r="155" customFormat="false" ht="23.85" hidden="false" customHeight="false" outlineLevel="0" collapsed="false">
      <c r="A155" s="2" t="s">
        <v>520</v>
      </c>
      <c r="B155" s="2" t="s">
        <v>540</v>
      </c>
      <c r="C155" s="2" t="s">
        <v>14</v>
      </c>
      <c r="D155" s="2" t="s">
        <v>554</v>
      </c>
      <c r="E155" s="3" t="s">
        <v>555</v>
      </c>
      <c r="F155" s="3" t="s">
        <v>35</v>
      </c>
      <c r="G155" s="4" t="s">
        <v>556</v>
      </c>
      <c r="H155" s="3" t="s">
        <v>92</v>
      </c>
      <c r="I155" s="2" t="s">
        <v>544</v>
      </c>
      <c r="J155" s="2" t="s">
        <v>545</v>
      </c>
      <c r="K155" s="7" t="s">
        <v>37</v>
      </c>
      <c r="L155" s="3"/>
    </row>
    <row r="156" customFormat="false" ht="23.85" hidden="false" customHeight="false" outlineLevel="0" collapsed="false">
      <c r="A156" s="2" t="s">
        <v>520</v>
      </c>
      <c r="B156" s="2" t="s">
        <v>557</v>
      </c>
      <c r="C156" s="2" t="s">
        <v>14</v>
      </c>
      <c r="D156" s="2" t="s">
        <v>558</v>
      </c>
      <c r="E156" s="3" t="s">
        <v>131</v>
      </c>
      <c r="F156" s="3" t="s">
        <v>25</v>
      </c>
      <c r="G156" s="4" t="s">
        <v>559</v>
      </c>
      <c r="H156" s="3" t="s">
        <v>92</v>
      </c>
      <c r="I156" s="2" t="s">
        <v>560</v>
      </c>
      <c r="J156" s="2" t="s">
        <v>561</v>
      </c>
      <c r="K156" s="5" t="s">
        <v>22</v>
      </c>
      <c r="L156" s="3" t="s">
        <v>562</v>
      </c>
    </row>
    <row r="157" customFormat="false" ht="23.85" hidden="false" customHeight="false" outlineLevel="0" collapsed="false">
      <c r="A157" s="2" t="s">
        <v>520</v>
      </c>
      <c r="B157" s="2" t="s">
        <v>557</v>
      </c>
      <c r="C157" s="2" t="s">
        <v>14</v>
      </c>
      <c r="D157" s="2" t="s">
        <v>563</v>
      </c>
      <c r="E157" s="3" t="s">
        <v>564</v>
      </c>
      <c r="F157" s="3" t="s">
        <v>25</v>
      </c>
      <c r="G157" s="4" t="s">
        <v>565</v>
      </c>
      <c r="H157" s="3" t="s">
        <v>92</v>
      </c>
      <c r="I157" s="2" t="s">
        <v>560</v>
      </c>
      <c r="J157" s="2" t="s">
        <v>561</v>
      </c>
      <c r="K157" s="6" t="s">
        <v>30</v>
      </c>
      <c r="L157" s="3"/>
    </row>
    <row r="158" customFormat="false" ht="23.85" hidden="false" customHeight="false" outlineLevel="0" collapsed="false">
      <c r="A158" s="2" t="s">
        <v>520</v>
      </c>
      <c r="B158" s="2" t="s">
        <v>557</v>
      </c>
      <c r="C158" s="2" t="s">
        <v>14</v>
      </c>
      <c r="D158" s="2" t="s">
        <v>566</v>
      </c>
      <c r="E158" s="3" t="s">
        <v>567</v>
      </c>
      <c r="F158" s="3" t="s">
        <v>25</v>
      </c>
      <c r="G158" s="4" t="s">
        <v>568</v>
      </c>
      <c r="H158" s="3" t="s">
        <v>92</v>
      </c>
      <c r="I158" s="2" t="s">
        <v>560</v>
      </c>
      <c r="J158" s="2" t="s">
        <v>561</v>
      </c>
      <c r="K158" s="7" t="s">
        <v>37</v>
      </c>
      <c r="L158" s="3"/>
    </row>
    <row r="159" customFormat="false" ht="23.85" hidden="false" customHeight="false" outlineLevel="0" collapsed="false">
      <c r="A159" s="2" t="s">
        <v>520</v>
      </c>
      <c r="B159" s="2" t="s">
        <v>557</v>
      </c>
      <c r="C159" s="2" t="s">
        <v>14</v>
      </c>
      <c r="D159" s="2" t="s">
        <v>569</v>
      </c>
      <c r="E159" s="3" t="s">
        <v>570</v>
      </c>
      <c r="F159" s="3" t="s">
        <v>25</v>
      </c>
      <c r="G159" s="4" t="s">
        <v>571</v>
      </c>
      <c r="H159" s="3" t="s">
        <v>92</v>
      </c>
      <c r="I159" s="2" t="s">
        <v>560</v>
      </c>
      <c r="J159" s="2" t="s">
        <v>561</v>
      </c>
      <c r="K159" s="7" t="s">
        <v>37</v>
      </c>
      <c r="L159" s="3"/>
    </row>
    <row r="160" customFormat="false" ht="23.85" hidden="false" customHeight="false" outlineLevel="0" collapsed="false">
      <c r="A160" s="2" t="s">
        <v>520</v>
      </c>
      <c r="B160" s="2" t="s">
        <v>572</v>
      </c>
      <c r="C160" s="2" t="s">
        <v>14</v>
      </c>
      <c r="D160" s="2" t="s">
        <v>573</v>
      </c>
      <c r="E160" s="3" t="s">
        <v>574</v>
      </c>
      <c r="F160" s="3" t="s">
        <v>575</v>
      </c>
      <c r="G160" s="4" t="s">
        <v>576</v>
      </c>
      <c r="H160" s="3" t="s">
        <v>92</v>
      </c>
      <c r="I160" s="2" t="s">
        <v>577</v>
      </c>
      <c r="J160" s="2" t="s">
        <v>578</v>
      </c>
      <c r="K160" s="5" t="s">
        <v>22</v>
      </c>
      <c r="L160" s="3" t="s">
        <v>579</v>
      </c>
    </row>
    <row r="161" customFormat="false" ht="23.85" hidden="false" customHeight="false" outlineLevel="0" collapsed="false">
      <c r="A161" s="2" t="s">
        <v>520</v>
      </c>
      <c r="B161" s="2" t="s">
        <v>572</v>
      </c>
      <c r="C161" s="2" t="s">
        <v>14</v>
      </c>
      <c r="D161" s="2" t="s">
        <v>580</v>
      </c>
      <c r="E161" s="3" t="s">
        <v>581</v>
      </c>
      <c r="F161" s="3" t="s">
        <v>582</v>
      </c>
      <c r="G161" s="4" t="s">
        <v>583</v>
      </c>
      <c r="H161" s="3" t="s">
        <v>92</v>
      </c>
      <c r="I161" s="2" t="s">
        <v>577</v>
      </c>
      <c r="J161" s="2" t="s">
        <v>578</v>
      </c>
      <c r="K161" s="5" t="s">
        <v>22</v>
      </c>
      <c r="L161" s="3" t="s">
        <v>584</v>
      </c>
    </row>
    <row r="162" customFormat="false" ht="23.85" hidden="false" customHeight="false" outlineLevel="0" collapsed="false">
      <c r="A162" s="2" t="s">
        <v>520</v>
      </c>
      <c r="B162" s="2" t="s">
        <v>572</v>
      </c>
      <c r="C162" s="2" t="s">
        <v>14</v>
      </c>
      <c r="D162" s="2" t="s">
        <v>585</v>
      </c>
      <c r="E162" s="3" t="s">
        <v>131</v>
      </c>
      <c r="F162" s="3" t="s">
        <v>25</v>
      </c>
      <c r="G162" s="4" t="s">
        <v>586</v>
      </c>
      <c r="H162" s="3" t="s">
        <v>92</v>
      </c>
      <c r="I162" s="2" t="s">
        <v>577</v>
      </c>
      <c r="J162" s="2" t="s">
        <v>578</v>
      </c>
      <c r="K162" s="5" t="s">
        <v>22</v>
      </c>
      <c r="L162" s="3"/>
    </row>
    <row r="163" customFormat="false" ht="23.85" hidden="false" customHeight="false" outlineLevel="0" collapsed="false">
      <c r="A163" s="2" t="s">
        <v>520</v>
      </c>
      <c r="B163" s="2" t="s">
        <v>572</v>
      </c>
      <c r="C163" s="2" t="s">
        <v>14</v>
      </c>
      <c r="D163" s="2" t="s">
        <v>587</v>
      </c>
      <c r="E163" s="3" t="s">
        <v>588</v>
      </c>
      <c r="F163" s="3" t="s">
        <v>35</v>
      </c>
      <c r="G163" s="4" t="s">
        <v>589</v>
      </c>
      <c r="H163" s="3" t="s">
        <v>92</v>
      </c>
      <c r="I163" s="2" t="s">
        <v>577</v>
      </c>
      <c r="J163" s="2" t="s">
        <v>578</v>
      </c>
      <c r="K163" s="7" t="s">
        <v>37</v>
      </c>
      <c r="L163" s="3"/>
    </row>
    <row r="164" customFormat="false" ht="23.85" hidden="false" customHeight="false" outlineLevel="0" collapsed="false">
      <c r="A164" s="2" t="s">
        <v>520</v>
      </c>
      <c r="B164" s="2" t="s">
        <v>572</v>
      </c>
      <c r="C164" s="2" t="s">
        <v>14</v>
      </c>
      <c r="D164" s="2" t="s">
        <v>590</v>
      </c>
      <c r="E164" s="3" t="s">
        <v>136</v>
      </c>
      <c r="F164" s="3" t="s">
        <v>25</v>
      </c>
      <c r="G164" s="4" t="s">
        <v>591</v>
      </c>
      <c r="H164" s="3" t="s">
        <v>92</v>
      </c>
      <c r="I164" s="2" t="s">
        <v>577</v>
      </c>
      <c r="J164" s="2" t="s">
        <v>578</v>
      </c>
      <c r="K164" s="7" t="s">
        <v>37</v>
      </c>
      <c r="L164" s="3"/>
    </row>
    <row r="165" customFormat="false" ht="23.85" hidden="false" customHeight="false" outlineLevel="0" collapsed="false">
      <c r="A165" s="2" t="s">
        <v>520</v>
      </c>
      <c r="B165" s="2" t="s">
        <v>592</v>
      </c>
      <c r="C165" s="2" t="s">
        <v>14</v>
      </c>
      <c r="D165" s="2" t="s">
        <v>593</v>
      </c>
      <c r="E165" s="3" t="s">
        <v>594</v>
      </c>
      <c r="F165" s="3" t="s">
        <v>524</v>
      </c>
      <c r="G165" s="4" t="s">
        <v>595</v>
      </c>
      <c r="H165" s="3" t="s">
        <v>92</v>
      </c>
      <c r="I165" s="2" t="s">
        <v>596</v>
      </c>
      <c r="J165" s="2" t="s">
        <v>597</v>
      </c>
      <c r="K165" s="5" t="s">
        <v>22</v>
      </c>
      <c r="L165" s="3"/>
    </row>
    <row r="166" customFormat="false" ht="23.85" hidden="false" customHeight="false" outlineLevel="0" collapsed="false">
      <c r="A166" s="2" t="s">
        <v>520</v>
      </c>
      <c r="B166" s="2" t="s">
        <v>592</v>
      </c>
      <c r="C166" s="2" t="s">
        <v>14</v>
      </c>
      <c r="D166" s="2" t="s">
        <v>598</v>
      </c>
      <c r="E166" s="3" t="s">
        <v>599</v>
      </c>
      <c r="F166" s="3" t="s">
        <v>126</v>
      </c>
      <c r="G166" s="4" t="s">
        <v>600</v>
      </c>
      <c r="H166" s="3" t="s">
        <v>92</v>
      </c>
      <c r="I166" s="2" t="s">
        <v>596</v>
      </c>
      <c r="J166" s="2" t="s">
        <v>597</v>
      </c>
      <c r="K166" s="5" t="s">
        <v>22</v>
      </c>
      <c r="L166" s="3"/>
    </row>
    <row r="167" customFormat="false" ht="23.85" hidden="false" customHeight="false" outlineLevel="0" collapsed="false">
      <c r="A167" s="2" t="s">
        <v>520</v>
      </c>
      <c r="B167" s="2" t="s">
        <v>592</v>
      </c>
      <c r="C167" s="2" t="s">
        <v>14</v>
      </c>
      <c r="D167" s="2" t="s">
        <v>601</v>
      </c>
      <c r="E167" s="3" t="s">
        <v>602</v>
      </c>
      <c r="F167" s="3" t="s">
        <v>65</v>
      </c>
      <c r="G167" s="4" t="s">
        <v>603</v>
      </c>
      <c r="H167" s="3" t="s">
        <v>92</v>
      </c>
      <c r="I167" s="2" t="s">
        <v>596</v>
      </c>
      <c r="J167" s="2" t="s">
        <v>597</v>
      </c>
      <c r="K167" s="5" t="s">
        <v>22</v>
      </c>
      <c r="L167" s="3"/>
    </row>
    <row r="168" customFormat="false" ht="23.85" hidden="false" customHeight="false" outlineLevel="0" collapsed="false">
      <c r="A168" s="2" t="s">
        <v>520</v>
      </c>
      <c r="B168" s="2" t="s">
        <v>592</v>
      </c>
      <c r="C168" s="2" t="s">
        <v>14</v>
      </c>
      <c r="D168" s="2" t="s">
        <v>604</v>
      </c>
      <c r="E168" s="3" t="s">
        <v>131</v>
      </c>
      <c r="F168" s="3" t="s">
        <v>25</v>
      </c>
      <c r="G168" s="4" t="s">
        <v>605</v>
      </c>
      <c r="H168" s="3" t="s">
        <v>92</v>
      </c>
      <c r="I168" s="2" t="s">
        <v>606</v>
      </c>
      <c r="J168" s="2" t="s">
        <v>597</v>
      </c>
      <c r="K168" s="5" t="s">
        <v>22</v>
      </c>
      <c r="L168" s="3" t="s">
        <v>607</v>
      </c>
    </row>
    <row r="169" customFormat="false" ht="23.85" hidden="false" customHeight="false" outlineLevel="0" collapsed="false">
      <c r="A169" s="2" t="s">
        <v>520</v>
      </c>
      <c r="B169" s="2" t="s">
        <v>592</v>
      </c>
      <c r="C169" s="2" t="s">
        <v>14</v>
      </c>
      <c r="D169" s="2" t="s">
        <v>608</v>
      </c>
      <c r="E169" s="3" t="s">
        <v>609</v>
      </c>
      <c r="F169" s="3" t="s">
        <v>35</v>
      </c>
      <c r="G169" s="4" t="s">
        <v>610</v>
      </c>
      <c r="H169" s="3" t="s">
        <v>92</v>
      </c>
      <c r="I169" s="2" t="s">
        <v>596</v>
      </c>
      <c r="J169" s="2" t="s">
        <v>597</v>
      </c>
      <c r="K169" s="7" t="s">
        <v>37</v>
      </c>
      <c r="L169" s="3"/>
    </row>
    <row r="170" customFormat="false" ht="23.85" hidden="false" customHeight="false" outlineLevel="0" collapsed="false">
      <c r="A170" s="2" t="s">
        <v>520</v>
      </c>
      <c r="B170" s="2" t="s">
        <v>611</v>
      </c>
      <c r="C170" s="2" t="s">
        <v>14</v>
      </c>
      <c r="D170" s="2" t="s">
        <v>612</v>
      </c>
      <c r="E170" s="3" t="s">
        <v>131</v>
      </c>
      <c r="F170" s="3" t="s">
        <v>25</v>
      </c>
      <c r="G170" s="4" t="s">
        <v>613</v>
      </c>
      <c r="H170" s="3" t="s">
        <v>92</v>
      </c>
      <c r="I170" s="2" t="s">
        <v>614</v>
      </c>
      <c r="J170" s="2" t="s">
        <v>615</v>
      </c>
      <c r="K170" s="5" t="s">
        <v>22</v>
      </c>
      <c r="L170" s="3"/>
    </row>
    <row r="171" customFormat="false" ht="23.85" hidden="false" customHeight="false" outlineLevel="0" collapsed="false">
      <c r="A171" s="2" t="s">
        <v>520</v>
      </c>
      <c r="B171" s="2" t="s">
        <v>611</v>
      </c>
      <c r="C171" s="2" t="s">
        <v>14</v>
      </c>
      <c r="D171" s="2" t="s">
        <v>616</v>
      </c>
      <c r="E171" s="3" t="s">
        <v>136</v>
      </c>
      <c r="F171" s="3" t="s">
        <v>25</v>
      </c>
      <c r="G171" s="4" t="s">
        <v>617</v>
      </c>
      <c r="H171" s="3" t="s">
        <v>92</v>
      </c>
      <c r="I171" s="2" t="s">
        <v>614</v>
      </c>
      <c r="J171" s="2" t="s">
        <v>615</v>
      </c>
      <c r="K171" s="6" t="s">
        <v>30</v>
      </c>
      <c r="L171" s="3"/>
    </row>
    <row r="172" customFormat="false" ht="23.85" hidden="false" customHeight="false" outlineLevel="0" collapsed="false">
      <c r="A172" s="2" t="s">
        <v>520</v>
      </c>
      <c r="B172" s="2" t="s">
        <v>611</v>
      </c>
      <c r="C172" s="2" t="s">
        <v>14</v>
      </c>
      <c r="D172" s="2" t="s">
        <v>618</v>
      </c>
      <c r="E172" s="3" t="s">
        <v>136</v>
      </c>
      <c r="F172" s="3" t="s">
        <v>25</v>
      </c>
      <c r="G172" s="4" t="s">
        <v>619</v>
      </c>
      <c r="H172" s="3" t="s">
        <v>92</v>
      </c>
      <c r="I172" s="2" t="s">
        <v>614</v>
      </c>
      <c r="J172" s="2" t="s">
        <v>615</v>
      </c>
      <c r="K172" s="6" t="s">
        <v>30</v>
      </c>
      <c r="L172" s="3"/>
    </row>
    <row r="173" customFormat="false" ht="23.85" hidden="false" customHeight="false" outlineLevel="0" collapsed="false">
      <c r="A173" s="2" t="s">
        <v>520</v>
      </c>
      <c r="B173" s="2" t="s">
        <v>611</v>
      </c>
      <c r="C173" s="2" t="s">
        <v>14</v>
      </c>
      <c r="D173" s="2" t="s">
        <v>620</v>
      </c>
      <c r="E173" s="3" t="s">
        <v>555</v>
      </c>
      <c r="F173" s="3" t="s">
        <v>35</v>
      </c>
      <c r="G173" s="4" t="s">
        <v>621</v>
      </c>
      <c r="H173" s="3" t="s">
        <v>92</v>
      </c>
      <c r="I173" s="2" t="s">
        <v>614</v>
      </c>
      <c r="J173" s="2" t="s">
        <v>615</v>
      </c>
      <c r="K173" s="7" t="s">
        <v>37</v>
      </c>
      <c r="L173" s="3"/>
    </row>
    <row r="174" customFormat="false" ht="23.85" hidden="false" customHeight="false" outlineLevel="0" collapsed="false">
      <c r="A174" s="2" t="s">
        <v>520</v>
      </c>
      <c r="B174" s="2" t="s">
        <v>622</v>
      </c>
      <c r="C174" s="2" t="s">
        <v>14</v>
      </c>
      <c r="D174" s="2" t="s">
        <v>623</v>
      </c>
      <c r="E174" s="3" t="s">
        <v>624</v>
      </c>
      <c r="F174" s="3" t="s">
        <v>73</v>
      </c>
      <c r="G174" s="4" t="s">
        <v>625</v>
      </c>
      <c r="H174" s="3" t="s">
        <v>92</v>
      </c>
      <c r="I174" s="2" t="s">
        <v>626</v>
      </c>
      <c r="J174" s="2" t="s">
        <v>627</v>
      </c>
      <c r="K174" s="5" t="s">
        <v>22</v>
      </c>
      <c r="L174" s="3"/>
    </row>
    <row r="175" customFormat="false" ht="23.85" hidden="false" customHeight="false" outlineLevel="0" collapsed="false">
      <c r="A175" s="2" t="s">
        <v>520</v>
      </c>
      <c r="B175" s="2" t="s">
        <v>622</v>
      </c>
      <c r="C175" s="2" t="s">
        <v>14</v>
      </c>
      <c r="D175" s="2" t="s">
        <v>628</v>
      </c>
      <c r="E175" s="3" t="s">
        <v>542</v>
      </c>
      <c r="F175" s="3" t="s">
        <v>524</v>
      </c>
      <c r="G175" s="4" t="s">
        <v>629</v>
      </c>
      <c r="H175" s="3" t="s">
        <v>92</v>
      </c>
      <c r="I175" s="2" t="s">
        <v>626</v>
      </c>
      <c r="J175" s="2" t="s">
        <v>627</v>
      </c>
      <c r="K175" s="5" t="s">
        <v>22</v>
      </c>
      <c r="L175" s="3"/>
    </row>
    <row r="176" customFormat="false" ht="23.85" hidden="false" customHeight="false" outlineLevel="0" collapsed="false">
      <c r="A176" s="2" t="s">
        <v>520</v>
      </c>
      <c r="B176" s="2" t="s">
        <v>622</v>
      </c>
      <c r="C176" s="2" t="s">
        <v>14</v>
      </c>
      <c r="D176" s="2" t="s">
        <v>630</v>
      </c>
      <c r="E176" s="3" t="s">
        <v>125</v>
      </c>
      <c r="F176" s="3" t="s">
        <v>126</v>
      </c>
      <c r="G176" s="4" t="s">
        <v>631</v>
      </c>
      <c r="H176" s="3" t="s">
        <v>92</v>
      </c>
      <c r="I176" s="2" t="s">
        <v>626</v>
      </c>
      <c r="J176" s="2" t="s">
        <v>627</v>
      </c>
      <c r="K176" s="5" t="s">
        <v>22</v>
      </c>
      <c r="L176" s="3"/>
    </row>
    <row r="177" customFormat="false" ht="23.85" hidden="false" customHeight="false" outlineLevel="0" collapsed="false">
      <c r="A177" s="2" t="s">
        <v>520</v>
      </c>
      <c r="B177" s="2" t="s">
        <v>622</v>
      </c>
      <c r="C177" s="2" t="s">
        <v>14</v>
      </c>
      <c r="D177" s="2" t="s">
        <v>632</v>
      </c>
      <c r="E177" s="3" t="s">
        <v>131</v>
      </c>
      <c r="F177" s="3" t="s">
        <v>25</v>
      </c>
      <c r="G177" s="4" t="s">
        <v>633</v>
      </c>
      <c r="H177" s="3" t="s">
        <v>92</v>
      </c>
      <c r="I177" s="2" t="s">
        <v>634</v>
      </c>
      <c r="J177" s="2" t="s">
        <v>627</v>
      </c>
      <c r="K177" s="5" t="s">
        <v>22</v>
      </c>
      <c r="L177" s="3"/>
    </row>
    <row r="178" customFormat="false" ht="23.85" hidden="false" customHeight="false" outlineLevel="0" collapsed="false">
      <c r="A178" s="2" t="s">
        <v>520</v>
      </c>
      <c r="B178" s="2" t="s">
        <v>622</v>
      </c>
      <c r="C178" s="2" t="s">
        <v>14</v>
      </c>
      <c r="D178" s="2" t="s">
        <v>635</v>
      </c>
      <c r="E178" s="3" t="s">
        <v>636</v>
      </c>
      <c r="F178" s="3" t="s">
        <v>35</v>
      </c>
      <c r="G178" s="4" t="s">
        <v>637</v>
      </c>
      <c r="H178" s="3" t="s">
        <v>92</v>
      </c>
      <c r="I178" s="2" t="s">
        <v>626</v>
      </c>
      <c r="J178" s="2" t="s">
        <v>627</v>
      </c>
      <c r="K178" s="7" t="s">
        <v>37</v>
      </c>
      <c r="L178" s="3"/>
    </row>
    <row r="179" customFormat="false" ht="23.85" hidden="false" customHeight="false" outlineLevel="0" collapsed="false">
      <c r="A179" s="2" t="s">
        <v>520</v>
      </c>
      <c r="B179" s="2" t="s">
        <v>638</v>
      </c>
      <c r="C179" s="2" t="s">
        <v>22</v>
      </c>
      <c r="D179" s="2" t="s">
        <v>639</v>
      </c>
      <c r="E179" s="3" t="s">
        <v>131</v>
      </c>
      <c r="F179" s="3" t="s">
        <v>25</v>
      </c>
      <c r="G179" s="4" t="s">
        <v>640</v>
      </c>
      <c r="H179" s="3" t="s">
        <v>92</v>
      </c>
      <c r="I179" s="2" t="s">
        <v>641</v>
      </c>
      <c r="J179" s="2" t="s">
        <v>642</v>
      </c>
      <c r="K179" s="5" t="s">
        <v>22</v>
      </c>
      <c r="L179" s="3"/>
    </row>
    <row r="180" customFormat="false" ht="23.85" hidden="false" customHeight="false" outlineLevel="0" collapsed="false">
      <c r="A180" s="2" t="s">
        <v>520</v>
      </c>
      <c r="B180" s="2" t="s">
        <v>638</v>
      </c>
      <c r="C180" s="2" t="s">
        <v>22</v>
      </c>
      <c r="D180" s="2" t="s">
        <v>643</v>
      </c>
      <c r="E180" s="3" t="s">
        <v>644</v>
      </c>
      <c r="F180" s="3" t="s">
        <v>281</v>
      </c>
      <c r="G180" s="4" t="s">
        <v>645</v>
      </c>
      <c r="H180" s="3" t="s">
        <v>92</v>
      </c>
      <c r="I180" s="2" t="s">
        <v>646</v>
      </c>
      <c r="J180" s="2" t="s">
        <v>642</v>
      </c>
      <c r="K180" s="6" t="s">
        <v>30</v>
      </c>
      <c r="L180" s="3" t="s">
        <v>647</v>
      </c>
    </row>
    <row r="181" customFormat="false" ht="23.85" hidden="false" customHeight="false" outlineLevel="0" collapsed="false">
      <c r="A181" s="2" t="s">
        <v>520</v>
      </c>
      <c r="B181" s="2" t="s">
        <v>638</v>
      </c>
      <c r="C181" s="2" t="s">
        <v>22</v>
      </c>
      <c r="D181" s="2" t="s">
        <v>648</v>
      </c>
      <c r="E181" s="3" t="s">
        <v>649</v>
      </c>
      <c r="F181" s="3" t="s">
        <v>35</v>
      </c>
      <c r="G181" s="4" t="s">
        <v>650</v>
      </c>
      <c r="H181" s="3" t="s">
        <v>92</v>
      </c>
      <c r="I181" s="2" t="s">
        <v>646</v>
      </c>
      <c r="J181" s="2" t="s">
        <v>642</v>
      </c>
      <c r="K181" s="6" t="s">
        <v>30</v>
      </c>
      <c r="L181" s="3"/>
    </row>
    <row r="182" customFormat="false" ht="23.85" hidden="false" customHeight="false" outlineLevel="0" collapsed="false">
      <c r="A182" s="2" t="s">
        <v>520</v>
      </c>
      <c r="B182" s="2" t="s">
        <v>638</v>
      </c>
      <c r="C182" s="2" t="s">
        <v>22</v>
      </c>
      <c r="D182" s="2" t="s">
        <v>651</v>
      </c>
      <c r="E182" s="3" t="s">
        <v>652</v>
      </c>
      <c r="F182" s="3" t="s">
        <v>653</v>
      </c>
      <c r="G182" s="4" t="s">
        <v>654</v>
      </c>
      <c r="H182" s="3" t="s">
        <v>92</v>
      </c>
      <c r="I182" s="2" t="s">
        <v>646</v>
      </c>
      <c r="J182" s="2" t="s">
        <v>642</v>
      </c>
      <c r="K182" s="6" t="s">
        <v>30</v>
      </c>
      <c r="L182" s="3"/>
    </row>
    <row r="183" customFormat="false" ht="23.85" hidden="false" customHeight="false" outlineLevel="0" collapsed="false">
      <c r="A183" s="8" t="s">
        <v>520</v>
      </c>
      <c r="B183" s="8" t="s">
        <v>638</v>
      </c>
      <c r="C183" s="8" t="s">
        <v>22</v>
      </c>
      <c r="D183" s="8" t="s">
        <v>655</v>
      </c>
      <c r="E183" s="9" t="s">
        <v>656</v>
      </c>
      <c r="F183" s="9" t="s">
        <v>462</v>
      </c>
      <c r="G183" s="8" t="s">
        <v>468</v>
      </c>
      <c r="H183" s="9" t="s">
        <v>469</v>
      </c>
      <c r="I183" s="8" t="s">
        <v>657</v>
      </c>
      <c r="J183" s="8" t="s">
        <v>642</v>
      </c>
      <c r="K183" s="12" t="s">
        <v>30</v>
      </c>
      <c r="L183" s="9" t="s">
        <v>658</v>
      </c>
    </row>
    <row r="184" customFormat="false" ht="23.85" hidden="false" customHeight="false" outlineLevel="0" collapsed="false">
      <c r="A184" s="2" t="s">
        <v>520</v>
      </c>
      <c r="B184" s="2" t="s">
        <v>659</v>
      </c>
      <c r="C184" s="2" t="s">
        <v>22</v>
      </c>
      <c r="D184" s="2" t="s">
        <v>660</v>
      </c>
      <c r="E184" s="3" t="s">
        <v>661</v>
      </c>
      <c r="F184" s="3" t="s">
        <v>662</v>
      </c>
      <c r="G184" s="4" t="s">
        <v>663</v>
      </c>
      <c r="H184" s="3" t="s">
        <v>92</v>
      </c>
      <c r="I184" s="2" t="s">
        <v>664</v>
      </c>
      <c r="J184" s="2" t="s">
        <v>665</v>
      </c>
      <c r="K184" s="5" t="s">
        <v>22</v>
      </c>
      <c r="L184" s="3" t="s">
        <v>666</v>
      </c>
    </row>
    <row r="185" customFormat="false" ht="23.85" hidden="false" customHeight="false" outlineLevel="0" collapsed="false">
      <c r="A185" s="2" t="s">
        <v>520</v>
      </c>
      <c r="B185" s="2" t="s">
        <v>659</v>
      </c>
      <c r="C185" s="2" t="s">
        <v>22</v>
      </c>
      <c r="D185" s="2" t="s">
        <v>667</v>
      </c>
      <c r="E185" s="3" t="s">
        <v>131</v>
      </c>
      <c r="F185" s="3" t="s">
        <v>25</v>
      </c>
      <c r="G185" s="4" t="s">
        <v>668</v>
      </c>
      <c r="H185" s="3" t="s">
        <v>92</v>
      </c>
      <c r="I185" s="2" t="s">
        <v>669</v>
      </c>
      <c r="J185" s="2" t="s">
        <v>665</v>
      </c>
      <c r="K185" s="5" t="s">
        <v>22</v>
      </c>
      <c r="L185" s="3"/>
    </row>
    <row r="186" customFormat="false" ht="23.85" hidden="false" customHeight="false" outlineLevel="0" collapsed="false">
      <c r="A186" s="2" t="s">
        <v>520</v>
      </c>
      <c r="B186" s="2" t="s">
        <v>659</v>
      </c>
      <c r="C186" s="2" t="s">
        <v>22</v>
      </c>
      <c r="D186" s="2" t="s">
        <v>670</v>
      </c>
      <c r="E186" s="3" t="s">
        <v>671</v>
      </c>
      <c r="F186" s="3" t="s">
        <v>281</v>
      </c>
      <c r="G186" s="4" t="s">
        <v>672</v>
      </c>
      <c r="H186" s="3" t="s">
        <v>92</v>
      </c>
      <c r="I186" s="2" t="s">
        <v>669</v>
      </c>
      <c r="J186" s="2" t="s">
        <v>665</v>
      </c>
      <c r="K186" s="6" t="s">
        <v>30</v>
      </c>
      <c r="L186" s="3"/>
    </row>
    <row r="187" customFormat="false" ht="23.85" hidden="false" customHeight="false" outlineLevel="0" collapsed="false">
      <c r="A187" s="2" t="s">
        <v>520</v>
      </c>
      <c r="B187" s="2" t="s">
        <v>659</v>
      </c>
      <c r="C187" s="2" t="s">
        <v>22</v>
      </c>
      <c r="D187" s="2" t="s">
        <v>673</v>
      </c>
      <c r="E187" s="3" t="s">
        <v>674</v>
      </c>
      <c r="F187" s="3" t="s">
        <v>675</v>
      </c>
      <c r="G187" s="4" t="s">
        <v>676</v>
      </c>
      <c r="H187" s="3" t="s">
        <v>92</v>
      </c>
      <c r="I187" s="2" t="s">
        <v>669</v>
      </c>
      <c r="J187" s="2" t="s">
        <v>665</v>
      </c>
      <c r="K187" s="6" t="s">
        <v>30</v>
      </c>
      <c r="L187" s="3"/>
    </row>
    <row r="188" customFormat="false" ht="23.85" hidden="false" customHeight="false" outlineLevel="0" collapsed="false">
      <c r="A188" s="2" t="s">
        <v>520</v>
      </c>
      <c r="B188" s="2" t="s">
        <v>659</v>
      </c>
      <c r="C188" s="2" t="s">
        <v>22</v>
      </c>
      <c r="D188" s="2" t="s">
        <v>677</v>
      </c>
      <c r="E188" s="3" t="s">
        <v>555</v>
      </c>
      <c r="F188" s="3" t="s">
        <v>35</v>
      </c>
      <c r="G188" s="4" t="s">
        <v>678</v>
      </c>
      <c r="H188" s="3" t="s">
        <v>92</v>
      </c>
      <c r="I188" s="2" t="s">
        <v>664</v>
      </c>
      <c r="J188" s="2" t="s">
        <v>665</v>
      </c>
      <c r="K188" s="7" t="s">
        <v>37</v>
      </c>
      <c r="L188" s="3"/>
    </row>
    <row r="189" customFormat="false" ht="23.85" hidden="false" customHeight="false" outlineLevel="0" collapsed="false">
      <c r="A189" s="2" t="s">
        <v>520</v>
      </c>
      <c r="B189" s="2" t="s">
        <v>679</v>
      </c>
      <c r="C189" s="2" t="s">
        <v>22</v>
      </c>
      <c r="D189" s="2" t="s">
        <v>680</v>
      </c>
      <c r="E189" s="3" t="s">
        <v>681</v>
      </c>
      <c r="F189" s="3" t="s">
        <v>682</v>
      </c>
      <c r="G189" s="4" t="s">
        <v>683</v>
      </c>
      <c r="H189" s="3" t="s">
        <v>92</v>
      </c>
      <c r="I189" s="2" t="s">
        <v>684</v>
      </c>
      <c r="J189" s="2" t="s">
        <v>685</v>
      </c>
      <c r="K189" s="5" t="s">
        <v>22</v>
      </c>
      <c r="L189" s="3"/>
    </row>
    <row r="190" customFormat="false" ht="23.85" hidden="false" customHeight="false" outlineLevel="0" collapsed="false">
      <c r="A190" s="2" t="s">
        <v>520</v>
      </c>
      <c r="B190" s="2" t="s">
        <v>679</v>
      </c>
      <c r="C190" s="2" t="s">
        <v>22</v>
      </c>
      <c r="D190" s="2" t="s">
        <v>686</v>
      </c>
      <c r="E190" s="3" t="s">
        <v>131</v>
      </c>
      <c r="F190" s="3" t="s">
        <v>25</v>
      </c>
      <c r="G190" s="4" t="s">
        <v>687</v>
      </c>
      <c r="H190" s="3" t="s">
        <v>92</v>
      </c>
      <c r="I190" s="2" t="s">
        <v>688</v>
      </c>
      <c r="J190" s="2" t="s">
        <v>685</v>
      </c>
      <c r="K190" s="5" t="s">
        <v>22</v>
      </c>
      <c r="L190" s="3"/>
    </row>
    <row r="191" customFormat="false" ht="23.85" hidden="false" customHeight="false" outlineLevel="0" collapsed="false">
      <c r="A191" s="2" t="s">
        <v>520</v>
      </c>
      <c r="B191" s="2" t="s">
        <v>679</v>
      </c>
      <c r="C191" s="2" t="s">
        <v>22</v>
      </c>
      <c r="D191" s="2" t="s">
        <v>689</v>
      </c>
      <c r="E191" s="3" t="s">
        <v>690</v>
      </c>
      <c r="F191" s="3" t="s">
        <v>35</v>
      </c>
      <c r="G191" s="4" t="s">
        <v>691</v>
      </c>
      <c r="H191" s="3" t="s">
        <v>92</v>
      </c>
      <c r="I191" s="2" t="s">
        <v>684</v>
      </c>
      <c r="J191" s="2" t="s">
        <v>685</v>
      </c>
      <c r="K191" s="6" t="s">
        <v>30</v>
      </c>
      <c r="L191" s="3" t="s">
        <v>692</v>
      </c>
    </row>
    <row r="192" customFormat="false" ht="23.85" hidden="false" customHeight="false" outlineLevel="0" collapsed="false">
      <c r="A192" s="2" t="s">
        <v>520</v>
      </c>
      <c r="B192" s="2" t="s">
        <v>679</v>
      </c>
      <c r="C192" s="2" t="s">
        <v>22</v>
      </c>
      <c r="D192" s="2" t="s">
        <v>693</v>
      </c>
      <c r="E192" s="3" t="s">
        <v>694</v>
      </c>
      <c r="F192" s="3" t="s">
        <v>675</v>
      </c>
      <c r="G192" s="4" t="s">
        <v>695</v>
      </c>
      <c r="H192" s="3" t="s">
        <v>92</v>
      </c>
      <c r="I192" s="2" t="s">
        <v>688</v>
      </c>
      <c r="J192" s="2" t="s">
        <v>685</v>
      </c>
      <c r="K192" s="6" t="s">
        <v>30</v>
      </c>
      <c r="L192" s="3"/>
    </row>
    <row r="193" customFormat="false" ht="23.85" hidden="false" customHeight="false" outlineLevel="0" collapsed="false">
      <c r="A193" s="2" t="s">
        <v>520</v>
      </c>
      <c r="B193" s="2" t="s">
        <v>679</v>
      </c>
      <c r="C193" s="2" t="s">
        <v>22</v>
      </c>
      <c r="D193" s="2" t="s">
        <v>696</v>
      </c>
      <c r="E193" s="3" t="s">
        <v>697</v>
      </c>
      <c r="F193" s="3" t="s">
        <v>25</v>
      </c>
      <c r="G193" s="4" t="s">
        <v>698</v>
      </c>
      <c r="H193" s="3" t="s">
        <v>92</v>
      </c>
      <c r="I193" s="2" t="s">
        <v>688</v>
      </c>
      <c r="J193" s="2" t="s">
        <v>685</v>
      </c>
      <c r="K193" s="7" t="s">
        <v>37</v>
      </c>
      <c r="L193" s="3"/>
    </row>
    <row r="194" customFormat="false" ht="23.85" hidden="false" customHeight="false" outlineLevel="0" collapsed="false">
      <c r="A194" s="2" t="s">
        <v>520</v>
      </c>
      <c r="B194" s="2" t="s">
        <v>699</v>
      </c>
      <c r="C194" s="2" t="s">
        <v>22</v>
      </c>
      <c r="D194" s="2" t="s">
        <v>700</v>
      </c>
      <c r="E194" s="3" t="s">
        <v>701</v>
      </c>
      <c r="F194" s="3" t="s">
        <v>702</v>
      </c>
      <c r="G194" s="4" t="s">
        <v>703</v>
      </c>
      <c r="H194" s="3" t="s">
        <v>92</v>
      </c>
      <c r="I194" s="2" t="s">
        <v>704</v>
      </c>
      <c r="J194" s="2" t="s">
        <v>705</v>
      </c>
      <c r="K194" s="5" t="s">
        <v>22</v>
      </c>
      <c r="L194" s="3" t="s">
        <v>706</v>
      </c>
    </row>
    <row r="195" customFormat="false" ht="23.85" hidden="false" customHeight="false" outlineLevel="0" collapsed="false">
      <c r="A195" s="2" t="s">
        <v>520</v>
      </c>
      <c r="B195" s="2" t="s">
        <v>699</v>
      </c>
      <c r="C195" s="2" t="s">
        <v>22</v>
      </c>
      <c r="D195" s="2" t="s">
        <v>707</v>
      </c>
      <c r="E195" s="3" t="s">
        <v>708</v>
      </c>
      <c r="F195" s="3" t="s">
        <v>103</v>
      </c>
      <c r="G195" s="4" t="s">
        <v>709</v>
      </c>
      <c r="H195" s="3" t="s">
        <v>92</v>
      </c>
      <c r="I195" s="2" t="s">
        <v>704</v>
      </c>
      <c r="J195" s="2" t="s">
        <v>705</v>
      </c>
      <c r="K195" s="5" t="s">
        <v>22</v>
      </c>
      <c r="L195" s="3"/>
    </row>
    <row r="196" customFormat="false" ht="23.85" hidden="false" customHeight="false" outlineLevel="0" collapsed="false">
      <c r="A196" s="2" t="s">
        <v>520</v>
      </c>
      <c r="B196" s="2" t="s">
        <v>699</v>
      </c>
      <c r="C196" s="2" t="s">
        <v>22</v>
      </c>
      <c r="D196" s="2" t="s">
        <v>710</v>
      </c>
      <c r="E196" s="3" t="s">
        <v>131</v>
      </c>
      <c r="F196" s="3" t="s">
        <v>25</v>
      </c>
      <c r="G196" s="4" t="s">
        <v>711</v>
      </c>
      <c r="H196" s="3" t="s">
        <v>92</v>
      </c>
      <c r="I196" s="2" t="s">
        <v>712</v>
      </c>
      <c r="J196" s="2" t="s">
        <v>705</v>
      </c>
      <c r="K196" s="5" t="s">
        <v>22</v>
      </c>
      <c r="L196" s="3"/>
    </row>
    <row r="197" customFormat="false" ht="23.85" hidden="false" customHeight="false" outlineLevel="0" collapsed="false">
      <c r="A197" s="2" t="s">
        <v>520</v>
      </c>
      <c r="B197" s="2" t="s">
        <v>699</v>
      </c>
      <c r="C197" s="2" t="s">
        <v>22</v>
      </c>
      <c r="D197" s="2" t="s">
        <v>713</v>
      </c>
      <c r="E197" s="3" t="s">
        <v>671</v>
      </c>
      <c r="F197" s="3" t="s">
        <v>281</v>
      </c>
      <c r="G197" s="4" t="s">
        <v>714</v>
      </c>
      <c r="H197" s="3" t="s">
        <v>92</v>
      </c>
      <c r="I197" s="2" t="s">
        <v>712</v>
      </c>
      <c r="J197" s="2" t="s">
        <v>705</v>
      </c>
      <c r="K197" s="6" t="s">
        <v>30</v>
      </c>
      <c r="L197" s="3" t="s">
        <v>715</v>
      </c>
    </row>
    <row r="198" customFormat="false" ht="23.85" hidden="false" customHeight="false" outlineLevel="0" collapsed="false">
      <c r="A198" s="2" t="s">
        <v>520</v>
      </c>
      <c r="B198" s="2" t="s">
        <v>699</v>
      </c>
      <c r="C198" s="2" t="s">
        <v>22</v>
      </c>
      <c r="D198" s="2" t="s">
        <v>716</v>
      </c>
      <c r="E198" s="3" t="s">
        <v>674</v>
      </c>
      <c r="F198" s="3" t="s">
        <v>675</v>
      </c>
      <c r="G198" s="4" t="s">
        <v>717</v>
      </c>
      <c r="H198" s="3" t="s">
        <v>92</v>
      </c>
      <c r="I198" s="2" t="s">
        <v>712</v>
      </c>
      <c r="J198" s="2" t="s">
        <v>705</v>
      </c>
      <c r="K198" s="6" t="s">
        <v>30</v>
      </c>
      <c r="L198" s="3"/>
    </row>
    <row r="199" customFormat="false" ht="23.85" hidden="false" customHeight="false" outlineLevel="0" collapsed="false">
      <c r="A199" s="2" t="s">
        <v>520</v>
      </c>
      <c r="B199" s="2" t="s">
        <v>718</v>
      </c>
      <c r="C199" s="2" t="s">
        <v>22</v>
      </c>
      <c r="D199" s="2" t="s">
        <v>719</v>
      </c>
      <c r="E199" s="3" t="s">
        <v>720</v>
      </c>
      <c r="F199" s="3" t="s">
        <v>721</v>
      </c>
      <c r="G199" s="4" t="s">
        <v>722</v>
      </c>
      <c r="H199" s="3" t="s">
        <v>92</v>
      </c>
      <c r="I199" s="2" t="s">
        <v>723</v>
      </c>
      <c r="J199" s="2" t="s">
        <v>724</v>
      </c>
      <c r="K199" s="5" t="s">
        <v>22</v>
      </c>
      <c r="L199" s="3" t="s">
        <v>725</v>
      </c>
    </row>
    <row r="200" customFormat="false" ht="23.85" hidden="false" customHeight="false" outlineLevel="0" collapsed="false">
      <c r="A200" s="2" t="s">
        <v>520</v>
      </c>
      <c r="B200" s="2" t="s">
        <v>718</v>
      </c>
      <c r="C200" s="2" t="s">
        <v>22</v>
      </c>
      <c r="D200" s="2" t="s">
        <v>726</v>
      </c>
      <c r="E200" s="3" t="s">
        <v>727</v>
      </c>
      <c r="F200" s="3" t="s">
        <v>728</v>
      </c>
      <c r="G200" s="4" t="s">
        <v>729</v>
      </c>
      <c r="H200" s="3" t="s">
        <v>92</v>
      </c>
      <c r="I200" s="2" t="s">
        <v>723</v>
      </c>
      <c r="J200" s="2" t="s">
        <v>724</v>
      </c>
      <c r="K200" s="5" t="s">
        <v>22</v>
      </c>
      <c r="L200" s="3" t="s">
        <v>730</v>
      </c>
    </row>
    <row r="201" customFormat="false" ht="23.85" hidden="false" customHeight="false" outlineLevel="0" collapsed="false">
      <c r="A201" s="2" t="s">
        <v>520</v>
      </c>
      <c r="B201" s="2" t="s">
        <v>718</v>
      </c>
      <c r="C201" s="2" t="s">
        <v>22</v>
      </c>
      <c r="D201" s="2" t="s">
        <v>731</v>
      </c>
      <c r="E201" s="3" t="s">
        <v>732</v>
      </c>
      <c r="F201" s="3" t="s">
        <v>103</v>
      </c>
      <c r="G201" s="4" t="s">
        <v>733</v>
      </c>
      <c r="H201" s="3" t="s">
        <v>92</v>
      </c>
      <c r="I201" s="2" t="s">
        <v>723</v>
      </c>
      <c r="J201" s="2" t="s">
        <v>724</v>
      </c>
      <c r="K201" s="5" t="s">
        <v>22</v>
      </c>
      <c r="L201" s="3"/>
    </row>
    <row r="202" customFormat="false" ht="23.85" hidden="false" customHeight="false" outlineLevel="0" collapsed="false">
      <c r="A202" s="2" t="s">
        <v>520</v>
      </c>
      <c r="B202" s="2" t="s">
        <v>718</v>
      </c>
      <c r="C202" s="2" t="s">
        <v>22</v>
      </c>
      <c r="D202" s="2" t="s">
        <v>734</v>
      </c>
      <c r="E202" s="3" t="s">
        <v>131</v>
      </c>
      <c r="F202" s="3" t="s">
        <v>25</v>
      </c>
      <c r="G202" s="4" t="s">
        <v>735</v>
      </c>
      <c r="H202" s="3" t="s">
        <v>92</v>
      </c>
      <c r="I202" s="2" t="s">
        <v>736</v>
      </c>
      <c r="J202" s="2" t="s">
        <v>724</v>
      </c>
      <c r="K202" s="5" t="s">
        <v>22</v>
      </c>
      <c r="L202" s="3"/>
    </row>
    <row r="203" customFormat="false" ht="23.85" hidden="false" customHeight="false" outlineLevel="0" collapsed="false">
      <c r="A203" s="2" t="s">
        <v>520</v>
      </c>
      <c r="B203" s="2" t="s">
        <v>718</v>
      </c>
      <c r="C203" s="2" t="s">
        <v>22</v>
      </c>
      <c r="D203" s="2" t="s">
        <v>737</v>
      </c>
      <c r="E203" s="3" t="s">
        <v>671</v>
      </c>
      <c r="F203" s="3" t="s">
        <v>281</v>
      </c>
      <c r="G203" s="4" t="s">
        <v>738</v>
      </c>
      <c r="H203" s="3" t="s">
        <v>92</v>
      </c>
      <c r="I203" s="2" t="s">
        <v>736</v>
      </c>
      <c r="J203" s="2" t="s">
        <v>724</v>
      </c>
      <c r="K203" s="6" t="s">
        <v>30</v>
      </c>
      <c r="L203" s="3"/>
    </row>
    <row r="204" customFormat="false" ht="23.85" hidden="false" customHeight="false" outlineLevel="0" collapsed="false">
      <c r="A204" s="2" t="s">
        <v>520</v>
      </c>
      <c r="B204" s="2" t="s">
        <v>739</v>
      </c>
      <c r="C204" s="2" t="s">
        <v>22</v>
      </c>
      <c r="D204" s="2" t="s">
        <v>740</v>
      </c>
      <c r="E204" s="3" t="s">
        <v>741</v>
      </c>
      <c r="F204" s="3" t="s">
        <v>742</v>
      </c>
      <c r="G204" s="4" t="s">
        <v>743</v>
      </c>
      <c r="H204" s="3" t="s">
        <v>92</v>
      </c>
      <c r="I204" s="2" t="s">
        <v>744</v>
      </c>
      <c r="J204" s="2" t="s">
        <v>745</v>
      </c>
      <c r="K204" s="5" t="s">
        <v>22</v>
      </c>
      <c r="L204" s="3" t="s">
        <v>746</v>
      </c>
    </row>
    <row r="205" customFormat="false" ht="23.85" hidden="false" customHeight="false" outlineLevel="0" collapsed="false">
      <c r="A205" s="2" t="s">
        <v>520</v>
      </c>
      <c r="B205" s="2" t="s">
        <v>739</v>
      </c>
      <c r="C205" s="2" t="s">
        <v>22</v>
      </c>
      <c r="D205" s="2" t="s">
        <v>747</v>
      </c>
      <c r="E205" s="3" t="s">
        <v>732</v>
      </c>
      <c r="F205" s="3" t="s">
        <v>103</v>
      </c>
      <c r="G205" s="4" t="s">
        <v>748</v>
      </c>
      <c r="H205" s="3" t="s">
        <v>92</v>
      </c>
      <c r="I205" s="2" t="s">
        <v>744</v>
      </c>
      <c r="J205" s="2" t="s">
        <v>745</v>
      </c>
      <c r="K205" s="5" t="s">
        <v>22</v>
      </c>
      <c r="L205" s="3" t="s">
        <v>749</v>
      </c>
    </row>
    <row r="206" customFormat="false" ht="23.85" hidden="false" customHeight="false" outlineLevel="0" collapsed="false">
      <c r="A206" s="2" t="s">
        <v>520</v>
      </c>
      <c r="B206" s="2" t="s">
        <v>739</v>
      </c>
      <c r="C206" s="2" t="s">
        <v>22</v>
      </c>
      <c r="D206" s="2" t="s">
        <v>750</v>
      </c>
      <c r="E206" s="3" t="s">
        <v>751</v>
      </c>
      <c r="F206" s="3" t="s">
        <v>752</v>
      </c>
      <c r="G206" s="4" t="s">
        <v>753</v>
      </c>
      <c r="H206" s="3" t="s">
        <v>92</v>
      </c>
      <c r="I206" s="2" t="s">
        <v>744</v>
      </c>
      <c r="J206" s="2" t="s">
        <v>745</v>
      </c>
      <c r="K206" s="5" t="s">
        <v>22</v>
      </c>
      <c r="L206" s="3" t="s">
        <v>749</v>
      </c>
    </row>
    <row r="207" customFormat="false" ht="23.85" hidden="false" customHeight="false" outlineLevel="0" collapsed="false">
      <c r="A207" s="2" t="s">
        <v>520</v>
      </c>
      <c r="B207" s="2" t="s">
        <v>739</v>
      </c>
      <c r="C207" s="2" t="s">
        <v>22</v>
      </c>
      <c r="D207" s="2" t="s">
        <v>754</v>
      </c>
      <c r="E207" s="3" t="s">
        <v>131</v>
      </c>
      <c r="F207" s="3" t="s">
        <v>25</v>
      </c>
      <c r="G207" s="4" t="s">
        <v>755</v>
      </c>
      <c r="H207" s="3" t="s">
        <v>92</v>
      </c>
      <c r="I207" s="2" t="s">
        <v>744</v>
      </c>
      <c r="J207" s="2" t="s">
        <v>745</v>
      </c>
      <c r="K207" s="5" t="s">
        <v>22</v>
      </c>
      <c r="L207" s="3"/>
    </row>
    <row r="208" customFormat="false" ht="23.85" hidden="false" customHeight="false" outlineLevel="0" collapsed="false">
      <c r="A208" s="2" t="s">
        <v>520</v>
      </c>
      <c r="B208" s="2" t="s">
        <v>739</v>
      </c>
      <c r="C208" s="2" t="s">
        <v>22</v>
      </c>
      <c r="D208" s="2" t="s">
        <v>756</v>
      </c>
      <c r="E208" s="3" t="s">
        <v>757</v>
      </c>
      <c r="F208" s="3" t="s">
        <v>758</v>
      </c>
      <c r="G208" s="4" t="s">
        <v>759</v>
      </c>
      <c r="H208" s="3" t="s">
        <v>92</v>
      </c>
      <c r="I208" s="2" t="s">
        <v>744</v>
      </c>
      <c r="J208" s="2" t="s">
        <v>745</v>
      </c>
      <c r="K208" s="6" t="s">
        <v>30</v>
      </c>
      <c r="L208" s="3" t="s">
        <v>749</v>
      </c>
    </row>
    <row r="209" customFormat="false" ht="35.05" hidden="false" customHeight="false" outlineLevel="0" collapsed="false">
      <c r="A209" s="2" t="s">
        <v>520</v>
      </c>
      <c r="B209" s="2" t="s">
        <v>760</v>
      </c>
      <c r="C209" s="2" t="s">
        <v>22</v>
      </c>
      <c r="D209" s="2" t="s">
        <v>761</v>
      </c>
      <c r="E209" s="3" t="s">
        <v>762</v>
      </c>
      <c r="F209" s="3" t="s">
        <v>25</v>
      </c>
      <c r="G209" s="4" t="s">
        <v>763</v>
      </c>
      <c r="H209" s="3" t="s">
        <v>92</v>
      </c>
      <c r="I209" s="2" t="s">
        <v>764</v>
      </c>
      <c r="J209" s="2" t="s">
        <v>765</v>
      </c>
      <c r="K209" s="5" t="s">
        <v>22</v>
      </c>
      <c r="L209" s="3" t="s">
        <v>766</v>
      </c>
    </row>
    <row r="210" customFormat="false" ht="23.85" hidden="false" customHeight="false" outlineLevel="0" collapsed="false">
      <c r="A210" s="2" t="s">
        <v>520</v>
      </c>
      <c r="B210" s="2" t="s">
        <v>760</v>
      </c>
      <c r="C210" s="2" t="s">
        <v>22</v>
      </c>
      <c r="D210" s="2" t="s">
        <v>767</v>
      </c>
      <c r="E210" s="3" t="s">
        <v>768</v>
      </c>
      <c r="F210" s="3" t="s">
        <v>25</v>
      </c>
      <c r="G210" s="4" t="s">
        <v>769</v>
      </c>
      <c r="H210" s="3" t="s">
        <v>92</v>
      </c>
      <c r="I210" s="2" t="s">
        <v>764</v>
      </c>
      <c r="J210" s="2" t="s">
        <v>765</v>
      </c>
      <c r="K210" s="6" t="s">
        <v>30</v>
      </c>
      <c r="L210" s="3" t="s">
        <v>770</v>
      </c>
    </row>
    <row r="211" customFormat="false" ht="35.05" hidden="false" customHeight="false" outlineLevel="0" collapsed="false">
      <c r="A211" s="2" t="s">
        <v>520</v>
      </c>
      <c r="B211" s="2" t="s">
        <v>771</v>
      </c>
      <c r="C211" s="2" t="s">
        <v>487</v>
      </c>
      <c r="D211" s="2" t="s">
        <v>761</v>
      </c>
      <c r="E211" s="3" t="s">
        <v>762</v>
      </c>
      <c r="F211" s="3" t="s">
        <v>25</v>
      </c>
      <c r="G211" s="4" t="s">
        <v>763</v>
      </c>
      <c r="H211" s="3" t="s">
        <v>92</v>
      </c>
      <c r="I211" s="2" t="s">
        <v>764</v>
      </c>
      <c r="J211" s="2" t="s">
        <v>772</v>
      </c>
      <c r="K211" s="5" t="s">
        <v>22</v>
      </c>
      <c r="L211" s="3" t="s">
        <v>766</v>
      </c>
    </row>
    <row r="212" customFormat="false" ht="23.85" hidden="false" customHeight="false" outlineLevel="0" collapsed="false">
      <c r="A212" s="2" t="s">
        <v>520</v>
      </c>
      <c r="B212" s="2" t="s">
        <v>771</v>
      </c>
      <c r="C212" s="2" t="s">
        <v>487</v>
      </c>
      <c r="D212" s="2" t="s">
        <v>767</v>
      </c>
      <c r="E212" s="3" t="s">
        <v>768</v>
      </c>
      <c r="F212" s="3" t="s">
        <v>25</v>
      </c>
      <c r="G212" s="4" t="s">
        <v>769</v>
      </c>
      <c r="H212" s="3" t="s">
        <v>92</v>
      </c>
      <c r="I212" s="2" t="s">
        <v>764</v>
      </c>
      <c r="J212" s="2" t="s">
        <v>772</v>
      </c>
      <c r="K212" s="6" t="s">
        <v>30</v>
      </c>
      <c r="L212" s="3" t="s">
        <v>770</v>
      </c>
    </row>
    <row r="213" customFormat="false" ht="23.85" hidden="false" customHeight="false" outlineLevel="0" collapsed="false">
      <c r="A213" s="2" t="s">
        <v>773</v>
      </c>
      <c r="B213" s="2" t="s">
        <v>774</v>
      </c>
      <c r="C213" s="2" t="s">
        <v>14</v>
      </c>
      <c r="D213" s="2" t="s">
        <v>775</v>
      </c>
      <c r="E213" s="3" t="s">
        <v>776</v>
      </c>
      <c r="F213" s="3" t="s">
        <v>73</v>
      </c>
      <c r="G213" s="4" t="s">
        <v>777</v>
      </c>
      <c r="H213" s="3" t="s">
        <v>778</v>
      </c>
      <c r="I213" s="2" t="s">
        <v>779</v>
      </c>
      <c r="J213" s="2" t="s">
        <v>780</v>
      </c>
      <c r="K213" s="5" t="s">
        <v>22</v>
      </c>
      <c r="L213" s="3" t="s">
        <v>781</v>
      </c>
    </row>
    <row r="214" customFormat="false" ht="23.85" hidden="false" customHeight="false" outlineLevel="0" collapsed="false">
      <c r="A214" s="2" t="s">
        <v>773</v>
      </c>
      <c r="B214" s="2" t="s">
        <v>774</v>
      </c>
      <c r="C214" s="2" t="s">
        <v>14</v>
      </c>
      <c r="D214" s="2" t="s">
        <v>782</v>
      </c>
      <c r="E214" s="3" t="s">
        <v>783</v>
      </c>
      <c r="F214" s="3" t="s">
        <v>126</v>
      </c>
      <c r="G214" s="4" t="s">
        <v>784</v>
      </c>
      <c r="H214" s="3" t="s">
        <v>778</v>
      </c>
      <c r="I214" s="2" t="s">
        <v>779</v>
      </c>
      <c r="J214" s="2" t="s">
        <v>780</v>
      </c>
      <c r="K214" s="5" t="s">
        <v>22</v>
      </c>
      <c r="L214" s="3" t="s">
        <v>785</v>
      </c>
    </row>
    <row r="215" customFormat="false" ht="23.85" hidden="false" customHeight="false" outlineLevel="0" collapsed="false">
      <c r="A215" s="2" t="s">
        <v>773</v>
      </c>
      <c r="B215" s="2" t="s">
        <v>774</v>
      </c>
      <c r="C215" s="2" t="s">
        <v>14</v>
      </c>
      <c r="D215" s="2" t="s">
        <v>786</v>
      </c>
      <c r="E215" s="3" t="s">
        <v>131</v>
      </c>
      <c r="F215" s="3" t="s">
        <v>25</v>
      </c>
      <c r="G215" s="4" t="s">
        <v>787</v>
      </c>
      <c r="H215" s="3" t="s">
        <v>778</v>
      </c>
      <c r="I215" s="2" t="s">
        <v>779</v>
      </c>
      <c r="J215" s="2" t="s">
        <v>780</v>
      </c>
      <c r="K215" s="5" t="s">
        <v>22</v>
      </c>
      <c r="L215" s="3" t="s">
        <v>788</v>
      </c>
    </row>
    <row r="216" customFormat="false" ht="23.85" hidden="false" customHeight="false" outlineLevel="0" collapsed="false">
      <c r="A216" s="2" t="s">
        <v>773</v>
      </c>
      <c r="B216" s="2" t="s">
        <v>774</v>
      </c>
      <c r="C216" s="2" t="s">
        <v>14</v>
      </c>
      <c r="D216" s="2" t="s">
        <v>789</v>
      </c>
      <c r="E216" s="3" t="s">
        <v>387</v>
      </c>
      <c r="F216" s="3" t="s">
        <v>35</v>
      </c>
      <c r="G216" s="4" t="s">
        <v>790</v>
      </c>
      <c r="H216" s="3" t="s">
        <v>778</v>
      </c>
      <c r="I216" s="2" t="s">
        <v>779</v>
      </c>
      <c r="J216" s="2" t="s">
        <v>780</v>
      </c>
      <c r="K216" s="6" t="s">
        <v>30</v>
      </c>
      <c r="L216" s="3" t="s">
        <v>791</v>
      </c>
    </row>
    <row r="217" customFormat="false" ht="23.85" hidden="false" customHeight="false" outlineLevel="0" collapsed="false">
      <c r="A217" s="2" t="s">
        <v>773</v>
      </c>
      <c r="B217" s="2" t="s">
        <v>774</v>
      </c>
      <c r="C217" s="2" t="s">
        <v>14</v>
      </c>
      <c r="D217" s="2" t="s">
        <v>792</v>
      </c>
      <c r="E217" s="3" t="s">
        <v>793</v>
      </c>
      <c r="F217" s="3" t="s">
        <v>25</v>
      </c>
      <c r="G217" s="4" t="s">
        <v>794</v>
      </c>
      <c r="H217" s="3" t="s">
        <v>778</v>
      </c>
      <c r="I217" s="2" t="s">
        <v>779</v>
      </c>
      <c r="J217" s="2" t="s">
        <v>780</v>
      </c>
      <c r="K217" s="7" t="s">
        <v>37</v>
      </c>
      <c r="L217" s="3" t="s">
        <v>788</v>
      </c>
    </row>
    <row r="218" customFormat="false" ht="23.85" hidden="false" customHeight="false" outlineLevel="0" collapsed="false">
      <c r="A218" s="2" t="s">
        <v>773</v>
      </c>
      <c r="B218" s="2" t="s">
        <v>795</v>
      </c>
      <c r="C218" s="2" t="s">
        <v>14</v>
      </c>
      <c r="D218" s="2" t="s">
        <v>796</v>
      </c>
      <c r="E218" s="3" t="s">
        <v>797</v>
      </c>
      <c r="F218" s="3" t="s">
        <v>798</v>
      </c>
      <c r="G218" s="4" t="s">
        <v>799</v>
      </c>
      <c r="H218" s="3" t="s">
        <v>778</v>
      </c>
      <c r="I218" s="2" t="s">
        <v>800</v>
      </c>
      <c r="J218" s="2" t="s">
        <v>801</v>
      </c>
      <c r="K218" s="5" t="s">
        <v>22</v>
      </c>
      <c r="L218" s="3" t="s">
        <v>802</v>
      </c>
    </row>
    <row r="219" customFormat="false" ht="23.85" hidden="false" customHeight="false" outlineLevel="0" collapsed="false">
      <c r="A219" s="2" t="s">
        <v>773</v>
      </c>
      <c r="B219" s="2" t="s">
        <v>795</v>
      </c>
      <c r="C219" s="2" t="s">
        <v>14</v>
      </c>
      <c r="D219" s="2" t="s">
        <v>803</v>
      </c>
      <c r="E219" s="3" t="s">
        <v>131</v>
      </c>
      <c r="F219" s="3" t="s">
        <v>25</v>
      </c>
      <c r="G219" s="4" t="s">
        <v>804</v>
      </c>
      <c r="H219" s="3" t="s">
        <v>778</v>
      </c>
      <c r="I219" s="2" t="s">
        <v>800</v>
      </c>
      <c r="J219" s="2" t="s">
        <v>801</v>
      </c>
      <c r="K219" s="5" t="s">
        <v>22</v>
      </c>
      <c r="L219" s="3" t="s">
        <v>788</v>
      </c>
    </row>
    <row r="220" customFormat="false" ht="23.85" hidden="false" customHeight="false" outlineLevel="0" collapsed="false">
      <c r="A220" s="2" t="s">
        <v>773</v>
      </c>
      <c r="B220" s="2" t="s">
        <v>795</v>
      </c>
      <c r="C220" s="2" t="s">
        <v>14</v>
      </c>
      <c r="D220" s="2" t="s">
        <v>805</v>
      </c>
      <c r="E220" s="3" t="s">
        <v>136</v>
      </c>
      <c r="F220" s="3" t="s">
        <v>25</v>
      </c>
      <c r="G220" s="4" t="s">
        <v>806</v>
      </c>
      <c r="H220" s="3" t="s">
        <v>778</v>
      </c>
      <c r="I220" s="2" t="s">
        <v>800</v>
      </c>
      <c r="J220" s="2" t="s">
        <v>801</v>
      </c>
      <c r="K220" s="7" t="s">
        <v>37</v>
      </c>
      <c r="L220" s="3" t="s">
        <v>788</v>
      </c>
    </row>
    <row r="221" customFormat="false" ht="23.85" hidden="false" customHeight="false" outlineLevel="0" collapsed="false">
      <c r="A221" s="2" t="s">
        <v>773</v>
      </c>
      <c r="B221" s="2" t="s">
        <v>795</v>
      </c>
      <c r="C221" s="2" t="s">
        <v>14</v>
      </c>
      <c r="D221" s="2" t="s">
        <v>807</v>
      </c>
      <c r="E221" s="3" t="s">
        <v>136</v>
      </c>
      <c r="F221" s="3" t="s">
        <v>25</v>
      </c>
      <c r="G221" s="4" t="s">
        <v>808</v>
      </c>
      <c r="H221" s="3" t="s">
        <v>778</v>
      </c>
      <c r="I221" s="2" t="s">
        <v>800</v>
      </c>
      <c r="J221" s="2" t="s">
        <v>801</v>
      </c>
      <c r="K221" s="7" t="s">
        <v>37</v>
      </c>
      <c r="L221" s="3" t="s">
        <v>788</v>
      </c>
    </row>
    <row r="222" customFormat="false" ht="23.85" hidden="false" customHeight="false" outlineLevel="0" collapsed="false">
      <c r="A222" s="2" t="s">
        <v>773</v>
      </c>
      <c r="B222" s="2" t="s">
        <v>809</v>
      </c>
      <c r="C222" s="2" t="s">
        <v>14</v>
      </c>
      <c r="D222" s="2" t="s">
        <v>810</v>
      </c>
      <c r="E222" s="3" t="s">
        <v>811</v>
      </c>
      <c r="F222" s="3" t="s">
        <v>297</v>
      </c>
      <c r="G222" s="4" t="s">
        <v>812</v>
      </c>
      <c r="H222" s="3" t="s">
        <v>778</v>
      </c>
      <c r="I222" s="2" t="s">
        <v>813</v>
      </c>
      <c r="J222" s="2" t="s">
        <v>814</v>
      </c>
      <c r="K222" s="5" t="s">
        <v>22</v>
      </c>
      <c r="L222" s="3" t="s">
        <v>815</v>
      </c>
    </row>
    <row r="223" customFormat="false" ht="23.85" hidden="false" customHeight="false" outlineLevel="0" collapsed="false">
      <c r="A223" s="2" t="s">
        <v>773</v>
      </c>
      <c r="B223" s="2" t="s">
        <v>809</v>
      </c>
      <c r="C223" s="2" t="s">
        <v>14</v>
      </c>
      <c r="D223" s="2" t="s">
        <v>816</v>
      </c>
      <c r="E223" s="3" t="s">
        <v>817</v>
      </c>
      <c r="F223" s="3" t="s">
        <v>818</v>
      </c>
      <c r="G223" s="4" t="s">
        <v>819</v>
      </c>
      <c r="H223" s="3" t="s">
        <v>778</v>
      </c>
      <c r="I223" s="2" t="s">
        <v>813</v>
      </c>
      <c r="J223" s="2" t="s">
        <v>814</v>
      </c>
      <c r="K223" s="5" t="s">
        <v>22</v>
      </c>
      <c r="L223" s="3" t="s">
        <v>820</v>
      </c>
    </row>
    <row r="224" customFormat="false" ht="23.85" hidden="false" customHeight="false" outlineLevel="0" collapsed="false">
      <c r="A224" s="2" t="s">
        <v>773</v>
      </c>
      <c r="B224" s="2" t="s">
        <v>809</v>
      </c>
      <c r="C224" s="2" t="s">
        <v>14</v>
      </c>
      <c r="D224" s="2" t="s">
        <v>821</v>
      </c>
      <c r="E224" s="3" t="s">
        <v>131</v>
      </c>
      <c r="F224" s="3" t="s">
        <v>25</v>
      </c>
      <c r="G224" s="4" t="s">
        <v>822</v>
      </c>
      <c r="H224" s="3" t="s">
        <v>778</v>
      </c>
      <c r="I224" s="2" t="s">
        <v>813</v>
      </c>
      <c r="J224" s="2" t="s">
        <v>814</v>
      </c>
      <c r="K224" s="5" t="s">
        <v>22</v>
      </c>
      <c r="L224" s="3" t="s">
        <v>788</v>
      </c>
    </row>
    <row r="225" customFormat="false" ht="23.85" hidden="false" customHeight="false" outlineLevel="0" collapsed="false">
      <c r="A225" s="2" t="s">
        <v>773</v>
      </c>
      <c r="B225" s="2" t="s">
        <v>809</v>
      </c>
      <c r="C225" s="2" t="s">
        <v>14</v>
      </c>
      <c r="D225" s="2" t="s">
        <v>823</v>
      </c>
      <c r="E225" s="3" t="s">
        <v>387</v>
      </c>
      <c r="F225" s="3" t="s">
        <v>35</v>
      </c>
      <c r="G225" s="4" t="s">
        <v>824</v>
      </c>
      <c r="H225" s="3" t="s">
        <v>778</v>
      </c>
      <c r="I225" s="2" t="s">
        <v>813</v>
      </c>
      <c r="J225" s="2" t="s">
        <v>814</v>
      </c>
      <c r="K225" s="6" t="s">
        <v>30</v>
      </c>
      <c r="L225" s="3" t="s">
        <v>825</v>
      </c>
    </row>
    <row r="226" customFormat="false" ht="23.85" hidden="false" customHeight="false" outlineLevel="0" collapsed="false">
      <c r="A226" s="2" t="s">
        <v>773</v>
      </c>
      <c r="B226" s="2" t="s">
        <v>809</v>
      </c>
      <c r="C226" s="2" t="s">
        <v>14</v>
      </c>
      <c r="D226" s="2" t="s">
        <v>826</v>
      </c>
      <c r="E226" s="3" t="s">
        <v>793</v>
      </c>
      <c r="F226" s="3" t="s">
        <v>25</v>
      </c>
      <c r="G226" s="4" t="s">
        <v>827</v>
      </c>
      <c r="H226" s="3" t="s">
        <v>778</v>
      </c>
      <c r="I226" s="2" t="s">
        <v>813</v>
      </c>
      <c r="J226" s="2" t="s">
        <v>814</v>
      </c>
      <c r="K226" s="7" t="s">
        <v>37</v>
      </c>
      <c r="L226" s="3" t="s">
        <v>788</v>
      </c>
    </row>
    <row r="227" customFormat="false" ht="35.05" hidden="false" customHeight="false" outlineLevel="0" collapsed="false">
      <c r="A227" s="2" t="s">
        <v>773</v>
      </c>
      <c r="B227" s="2" t="s">
        <v>828</v>
      </c>
      <c r="C227" s="2" t="s">
        <v>14</v>
      </c>
      <c r="D227" s="2" t="s">
        <v>829</v>
      </c>
      <c r="E227" s="3" t="s">
        <v>830</v>
      </c>
      <c r="F227" s="3" t="s">
        <v>831</v>
      </c>
      <c r="G227" s="4" t="s">
        <v>832</v>
      </c>
      <c r="H227" s="3" t="s">
        <v>778</v>
      </c>
      <c r="I227" s="2" t="s">
        <v>833</v>
      </c>
      <c r="J227" s="2" t="s">
        <v>834</v>
      </c>
      <c r="K227" s="5" t="s">
        <v>22</v>
      </c>
      <c r="L227" s="3" t="s">
        <v>835</v>
      </c>
    </row>
    <row r="228" customFormat="false" ht="23.85" hidden="false" customHeight="false" outlineLevel="0" collapsed="false">
      <c r="A228" s="2" t="s">
        <v>773</v>
      </c>
      <c r="B228" s="2" t="s">
        <v>828</v>
      </c>
      <c r="C228" s="2" t="s">
        <v>14</v>
      </c>
      <c r="D228" s="2" t="s">
        <v>836</v>
      </c>
      <c r="E228" s="3" t="s">
        <v>776</v>
      </c>
      <c r="F228" s="3" t="s">
        <v>73</v>
      </c>
      <c r="G228" s="4" t="s">
        <v>837</v>
      </c>
      <c r="H228" s="3" t="s">
        <v>778</v>
      </c>
      <c r="I228" s="2" t="s">
        <v>833</v>
      </c>
      <c r="J228" s="2" t="s">
        <v>834</v>
      </c>
      <c r="K228" s="5" t="s">
        <v>22</v>
      </c>
      <c r="L228" s="3" t="s">
        <v>838</v>
      </c>
    </row>
    <row r="229" customFormat="false" ht="23.85" hidden="false" customHeight="false" outlineLevel="0" collapsed="false">
      <c r="A229" s="2" t="s">
        <v>773</v>
      </c>
      <c r="B229" s="2" t="s">
        <v>828</v>
      </c>
      <c r="C229" s="2" t="s">
        <v>14</v>
      </c>
      <c r="D229" s="2" t="s">
        <v>839</v>
      </c>
      <c r="E229" s="3" t="s">
        <v>131</v>
      </c>
      <c r="F229" s="3" t="s">
        <v>25</v>
      </c>
      <c r="G229" s="4" t="s">
        <v>840</v>
      </c>
      <c r="H229" s="3" t="s">
        <v>778</v>
      </c>
      <c r="I229" s="2" t="s">
        <v>833</v>
      </c>
      <c r="J229" s="2" t="s">
        <v>834</v>
      </c>
      <c r="K229" s="5" t="s">
        <v>22</v>
      </c>
      <c r="L229" s="3" t="s">
        <v>788</v>
      </c>
    </row>
    <row r="230" customFormat="false" ht="23.85" hidden="false" customHeight="false" outlineLevel="0" collapsed="false">
      <c r="A230" s="2" t="s">
        <v>773</v>
      </c>
      <c r="B230" s="2" t="s">
        <v>828</v>
      </c>
      <c r="C230" s="2" t="s">
        <v>14</v>
      </c>
      <c r="D230" s="2" t="s">
        <v>841</v>
      </c>
      <c r="E230" s="3" t="s">
        <v>136</v>
      </c>
      <c r="F230" s="3" t="s">
        <v>25</v>
      </c>
      <c r="G230" s="4" t="s">
        <v>842</v>
      </c>
      <c r="H230" s="3" t="s">
        <v>778</v>
      </c>
      <c r="I230" s="2" t="s">
        <v>833</v>
      </c>
      <c r="J230" s="2" t="s">
        <v>834</v>
      </c>
      <c r="K230" s="7" t="s">
        <v>37</v>
      </c>
      <c r="L230" s="3" t="s">
        <v>788</v>
      </c>
    </row>
    <row r="231" customFormat="false" ht="23.85" hidden="false" customHeight="false" outlineLevel="0" collapsed="false">
      <c r="A231" s="2" t="s">
        <v>773</v>
      </c>
      <c r="B231" s="2" t="s">
        <v>843</v>
      </c>
      <c r="C231" s="2" t="s">
        <v>14</v>
      </c>
      <c r="D231" s="2" t="s">
        <v>844</v>
      </c>
      <c r="E231" s="3" t="s">
        <v>845</v>
      </c>
      <c r="F231" s="3" t="s">
        <v>846</v>
      </c>
      <c r="G231" s="4" t="s">
        <v>847</v>
      </c>
      <c r="H231" s="3" t="s">
        <v>778</v>
      </c>
      <c r="I231" s="2" t="s">
        <v>848</v>
      </c>
      <c r="J231" s="2" t="s">
        <v>849</v>
      </c>
      <c r="K231" s="5" t="s">
        <v>22</v>
      </c>
      <c r="L231" s="3" t="s">
        <v>850</v>
      </c>
    </row>
    <row r="232" customFormat="false" ht="23.85" hidden="false" customHeight="false" outlineLevel="0" collapsed="false">
      <c r="A232" s="2" t="s">
        <v>773</v>
      </c>
      <c r="B232" s="2" t="s">
        <v>843</v>
      </c>
      <c r="C232" s="2" t="s">
        <v>14</v>
      </c>
      <c r="D232" s="2" t="s">
        <v>851</v>
      </c>
      <c r="E232" s="3" t="s">
        <v>852</v>
      </c>
      <c r="F232" s="3" t="s">
        <v>126</v>
      </c>
      <c r="G232" s="4" t="s">
        <v>853</v>
      </c>
      <c r="H232" s="3" t="s">
        <v>778</v>
      </c>
      <c r="I232" s="2" t="s">
        <v>848</v>
      </c>
      <c r="J232" s="2" t="s">
        <v>849</v>
      </c>
      <c r="K232" s="5" t="s">
        <v>22</v>
      </c>
      <c r="L232" s="3" t="s">
        <v>854</v>
      </c>
    </row>
    <row r="233" customFormat="false" ht="23.85" hidden="false" customHeight="false" outlineLevel="0" collapsed="false">
      <c r="A233" s="2" t="s">
        <v>773</v>
      </c>
      <c r="B233" s="2" t="s">
        <v>843</v>
      </c>
      <c r="C233" s="2" t="s">
        <v>14</v>
      </c>
      <c r="D233" s="2" t="s">
        <v>855</v>
      </c>
      <c r="E233" s="3" t="s">
        <v>131</v>
      </c>
      <c r="F233" s="3" t="s">
        <v>25</v>
      </c>
      <c r="G233" s="4" t="s">
        <v>856</v>
      </c>
      <c r="H233" s="3" t="s">
        <v>778</v>
      </c>
      <c r="I233" s="2" t="s">
        <v>848</v>
      </c>
      <c r="J233" s="2" t="s">
        <v>849</v>
      </c>
      <c r="K233" s="5" t="s">
        <v>22</v>
      </c>
      <c r="L233" s="3" t="s">
        <v>788</v>
      </c>
    </row>
    <row r="234" customFormat="false" ht="23.85" hidden="false" customHeight="false" outlineLevel="0" collapsed="false">
      <c r="A234" s="2" t="s">
        <v>773</v>
      </c>
      <c r="B234" s="2" t="s">
        <v>843</v>
      </c>
      <c r="C234" s="2" t="s">
        <v>14</v>
      </c>
      <c r="D234" s="2" t="s">
        <v>857</v>
      </c>
      <c r="E234" s="3" t="s">
        <v>387</v>
      </c>
      <c r="F234" s="3" t="s">
        <v>35</v>
      </c>
      <c r="G234" s="4" t="s">
        <v>858</v>
      </c>
      <c r="H234" s="3" t="s">
        <v>778</v>
      </c>
      <c r="I234" s="2" t="s">
        <v>848</v>
      </c>
      <c r="J234" s="2" t="s">
        <v>849</v>
      </c>
      <c r="K234" s="6" t="s">
        <v>30</v>
      </c>
      <c r="L234" s="3" t="s">
        <v>859</v>
      </c>
    </row>
    <row r="235" customFormat="false" ht="23.85" hidden="false" customHeight="false" outlineLevel="0" collapsed="false">
      <c r="A235" s="2" t="s">
        <v>773</v>
      </c>
      <c r="B235" s="2" t="s">
        <v>843</v>
      </c>
      <c r="C235" s="2" t="s">
        <v>14</v>
      </c>
      <c r="D235" s="2" t="s">
        <v>860</v>
      </c>
      <c r="E235" s="3" t="s">
        <v>136</v>
      </c>
      <c r="F235" s="3" t="s">
        <v>25</v>
      </c>
      <c r="G235" s="4" t="s">
        <v>861</v>
      </c>
      <c r="H235" s="3" t="s">
        <v>778</v>
      </c>
      <c r="I235" s="2" t="s">
        <v>848</v>
      </c>
      <c r="J235" s="2" t="s">
        <v>849</v>
      </c>
      <c r="K235" s="7" t="s">
        <v>37</v>
      </c>
      <c r="L235" s="3" t="s">
        <v>788</v>
      </c>
    </row>
    <row r="236" customFormat="false" ht="46.25" hidden="false" customHeight="false" outlineLevel="0" collapsed="false">
      <c r="A236" s="2" t="s">
        <v>773</v>
      </c>
      <c r="B236" s="2" t="s">
        <v>862</v>
      </c>
      <c r="C236" s="2" t="s">
        <v>14</v>
      </c>
      <c r="D236" s="2" t="s">
        <v>863</v>
      </c>
      <c r="E236" s="3" t="s">
        <v>864</v>
      </c>
      <c r="F236" s="3" t="s">
        <v>865</v>
      </c>
      <c r="G236" s="4" t="s">
        <v>866</v>
      </c>
      <c r="H236" s="3" t="s">
        <v>867</v>
      </c>
      <c r="I236" s="2" t="s">
        <v>868</v>
      </c>
      <c r="J236" s="2" t="s">
        <v>869</v>
      </c>
      <c r="K236" s="5" t="s">
        <v>22</v>
      </c>
      <c r="L236" s="3" t="s">
        <v>870</v>
      </c>
    </row>
    <row r="237" customFormat="false" ht="23.85" hidden="false" customHeight="false" outlineLevel="0" collapsed="false">
      <c r="A237" s="2" t="s">
        <v>773</v>
      </c>
      <c r="B237" s="2" t="s">
        <v>862</v>
      </c>
      <c r="C237" s="2" t="s">
        <v>14</v>
      </c>
      <c r="D237" s="2" t="s">
        <v>871</v>
      </c>
      <c r="E237" s="3" t="s">
        <v>131</v>
      </c>
      <c r="F237" s="3" t="s">
        <v>25</v>
      </c>
      <c r="G237" s="4" t="s">
        <v>872</v>
      </c>
      <c r="H237" s="3" t="s">
        <v>778</v>
      </c>
      <c r="I237" s="2" t="s">
        <v>868</v>
      </c>
      <c r="J237" s="2" t="s">
        <v>869</v>
      </c>
      <c r="K237" s="5" t="s">
        <v>22</v>
      </c>
      <c r="L237" s="3" t="s">
        <v>788</v>
      </c>
    </row>
    <row r="238" customFormat="false" ht="23.85" hidden="false" customHeight="false" outlineLevel="0" collapsed="false">
      <c r="A238" s="2" t="s">
        <v>773</v>
      </c>
      <c r="B238" s="2" t="s">
        <v>862</v>
      </c>
      <c r="C238" s="2" t="s">
        <v>14</v>
      </c>
      <c r="D238" s="2" t="s">
        <v>873</v>
      </c>
      <c r="E238" s="3" t="s">
        <v>387</v>
      </c>
      <c r="F238" s="3" t="s">
        <v>35</v>
      </c>
      <c r="G238" s="4" t="s">
        <v>874</v>
      </c>
      <c r="H238" s="3" t="s">
        <v>778</v>
      </c>
      <c r="I238" s="2" t="s">
        <v>868</v>
      </c>
      <c r="J238" s="2" t="s">
        <v>869</v>
      </c>
      <c r="K238" s="6" t="s">
        <v>30</v>
      </c>
      <c r="L238" s="3" t="s">
        <v>875</v>
      </c>
    </row>
    <row r="239" customFormat="false" ht="23.85" hidden="false" customHeight="false" outlineLevel="0" collapsed="false">
      <c r="A239" s="2" t="s">
        <v>773</v>
      </c>
      <c r="B239" s="2" t="s">
        <v>862</v>
      </c>
      <c r="C239" s="2" t="s">
        <v>14</v>
      </c>
      <c r="D239" s="2" t="s">
        <v>876</v>
      </c>
      <c r="E239" s="3" t="s">
        <v>136</v>
      </c>
      <c r="F239" s="3" t="s">
        <v>25</v>
      </c>
      <c r="G239" s="4" t="s">
        <v>877</v>
      </c>
      <c r="H239" s="3" t="s">
        <v>778</v>
      </c>
      <c r="I239" s="2" t="s">
        <v>868</v>
      </c>
      <c r="J239" s="2" t="s">
        <v>869</v>
      </c>
      <c r="K239" s="7" t="s">
        <v>37</v>
      </c>
      <c r="L239" s="3" t="s">
        <v>788</v>
      </c>
    </row>
    <row r="240" customFormat="false" ht="57.45" hidden="false" customHeight="false" outlineLevel="0" collapsed="false">
      <c r="A240" s="2" t="s">
        <v>773</v>
      </c>
      <c r="B240" s="2" t="s">
        <v>878</v>
      </c>
      <c r="C240" s="2" t="s">
        <v>14</v>
      </c>
      <c r="D240" s="2" t="s">
        <v>879</v>
      </c>
      <c r="E240" s="3" t="s">
        <v>880</v>
      </c>
      <c r="F240" s="3" t="s">
        <v>881</v>
      </c>
      <c r="G240" s="4" t="s">
        <v>882</v>
      </c>
      <c r="H240" s="3" t="s">
        <v>867</v>
      </c>
      <c r="I240" s="2" t="s">
        <v>883</v>
      </c>
      <c r="J240" s="2" t="s">
        <v>884</v>
      </c>
      <c r="K240" s="5" t="s">
        <v>22</v>
      </c>
      <c r="L240" s="3" t="s">
        <v>885</v>
      </c>
    </row>
    <row r="241" customFormat="false" ht="23.85" hidden="false" customHeight="false" outlineLevel="0" collapsed="false">
      <c r="A241" s="2" t="s">
        <v>773</v>
      </c>
      <c r="B241" s="2" t="s">
        <v>878</v>
      </c>
      <c r="C241" s="2" t="s">
        <v>14</v>
      </c>
      <c r="D241" s="2" t="s">
        <v>886</v>
      </c>
      <c r="E241" s="3" t="s">
        <v>887</v>
      </c>
      <c r="F241" s="3" t="s">
        <v>888</v>
      </c>
      <c r="G241" s="4" t="s">
        <v>889</v>
      </c>
      <c r="H241" s="3" t="s">
        <v>778</v>
      </c>
      <c r="I241" s="2" t="s">
        <v>883</v>
      </c>
      <c r="J241" s="2" t="s">
        <v>884</v>
      </c>
      <c r="K241" s="5" t="s">
        <v>22</v>
      </c>
      <c r="L241" s="3" t="s">
        <v>890</v>
      </c>
    </row>
    <row r="242" customFormat="false" ht="23.85" hidden="false" customHeight="false" outlineLevel="0" collapsed="false">
      <c r="A242" s="2" t="s">
        <v>773</v>
      </c>
      <c r="B242" s="2" t="s">
        <v>878</v>
      </c>
      <c r="C242" s="2" t="s">
        <v>14</v>
      </c>
      <c r="D242" s="2" t="s">
        <v>891</v>
      </c>
      <c r="E242" s="3" t="s">
        <v>131</v>
      </c>
      <c r="F242" s="3" t="s">
        <v>25</v>
      </c>
      <c r="G242" s="4" t="s">
        <v>892</v>
      </c>
      <c r="H242" s="3" t="s">
        <v>778</v>
      </c>
      <c r="I242" s="2" t="s">
        <v>883</v>
      </c>
      <c r="J242" s="2" t="s">
        <v>884</v>
      </c>
      <c r="K242" s="5" t="s">
        <v>22</v>
      </c>
      <c r="L242" s="3" t="s">
        <v>788</v>
      </c>
    </row>
    <row r="243" customFormat="false" ht="23.85" hidden="false" customHeight="false" outlineLevel="0" collapsed="false">
      <c r="A243" s="2" t="s">
        <v>773</v>
      </c>
      <c r="B243" s="2" t="s">
        <v>878</v>
      </c>
      <c r="C243" s="2" t="s">
        <v>14</v>
      </c>
      <c r="D243" s="2" t="s">
        <v>893</v>
      </c>
      <c r="E243" s="3" t="s">
        <v>136</v>
      </c>
      <c r="F243" s="3" t="s">
        <v>25</v>
      </c>
      <c r="G243" s="4" t="s">
        <v>894</v>
      </c>
      <c r="H243" s="3" t="s">
        <v>778</v>
      </c>
      <c r="I243" s="2" t="s">
        <v>883</v>
      </c>
      <c r="J243" s="2" t="s">
        <v>884</v>
      </c>
      <c r="K243" s="7" t="s">
        <v>37</v>
      </c>
      <c r="L243" s="3" t="s">
        <v>788</v>
      </c>
    </row>
    <row r="244" customFormat="false" ht="23.85" hidden="false" customHeight="false" outlineLevel="0" collapsed="false">
      <c r="A244" s="2" t="s">
        <v>773</v>
      </c>
      <c r="B244" s="2" t="s">
        <v>895</v>
      </c>
      <c r="C244" s="2" t="s">
        <v>14</v>
      </c>
      <c r="D244" s="2" t="s">
        <v>896</v>
      </c>
      <c r="E244" s="3" t="s">
        <v>897</v>
      </c>
      <c r="F244" s="3" t="s">
        <v>297</v>
      </c>
      <c r="G244" s="4" t="s">
        <v>898</v>
      </c>
      <c r="H244" s="3" t="s">
        <v>778</v>
      </c>
      <c r="I244" s="2" t="s">
        <v>899</v>
      </c>
      <c r="J244" s="2" t="s">
        <v>900</v>
      </c>
      <c r="K244" s="5" t="s">
        <v>22</v>
      </c>
      <c r="L244" s="3" t="s">
        <v>901</v>
      </c>
    </row>
    <row r="245" customFormat="false" ht="23.85" hidden="false" customHeight="false" outlineLevel="0" collapsed="false">
      <c r="A245" s="2" t="s">
        <v>773</v>
      </c>
      <c r="B245" s="2" t="s">
        <v>895</v>
      </c>
      <c r="C245" s="2" t="s">
        <v>14</v>
      </c>
      <c r="D245" s="2" t="s">
        <v>902</v>
      </c>
      <c r="E245" s="3" t="s">
        <v>817</v>
      </c>
      <c r="F245" s="3" t="s">
        <v>818</v>
      </c>
      <c r="G245" s="4" t="s">
        <v>903</v>
      </c>
      <c r="H245" s="3" t="s">
        <v>778</v>
      </c>
      <c r="I245" s="2" t="s">
        <v>899</v>
      </c>
      <c r="J245" s="2" t="s">
        <v>900</v>
      </c>
      <c r="K245" s="5" t="s">
        <v>22</v>
      </c>
      <c r="L245" s="3" t="s">
        <v>904</v>
      </c>
    </row>
    <row r="246" customFormat="false" ht="23.85" hidden="false" customHeight="false" outlineLevel="0" collapsed="false">
      <c r="A246" s="2" t="s">
        <v>773</v>
      </c>
      <c r="B246" s="2" t="s">
        <v>895</v>
      </c>
      <c r="C246" s="2" t="s">
        <v>14</v>
      </c>
      <c r="D246" s="2" t="s">
        <v>905</v>
      </c>
      <c r="E246" s="3" t="s">
        <v>125</v>
      </c>
      <c r="F246" s="3" t="s">
        <v>126</v>
      </c>
      <c r="G246" s="4" t="s">
        <v>906</v>
      </c>
      <c r="H246" s="3" t="s">
        <v>778</v>
      </c>
      <c r="I246" s="2" t="s">
        <v>899</v>
      </c>
      <c r="J246" s="2" t="s">
        <v>900</v>
      </c>
      <c r="K246" s="5" t="s">
        <v>22</v>
      </c>
      <c r="L246" s="3" t="s">
        <v>907</v>
      </c>
    </row>
    <row r="247" customFormat="false" ht="23.85" hidden="false" customHeight="false" outlineLevel="0" collapsed="false">
      <c r="A247" s="2" t="s">
        <v>773</v>
      </c>
      <c r="B247" s="2" t="s">
        <v>895</v>
      </c>
      <c r="C247" s="2" t="s">
        <v>14</v>
      </c>
      <c r="D247" s="2" t="s">
        <v>908</v>
      </c>
      <c r="E247" s="3" t="s">
        <v>131</v>
      </c>
      <c r="F247" s="3" t="s">
        <v>25</v>
      </c>
      <c r="G247" s="4" t="s">
        <v>909</v>
      </c>
      <c r="H247" s="3" t="s">
        <v>778</v>
      </c>
      <c r="I247" s="2" t="s">
        <v>899</v>
      </c>
      <c r="J247" s="2" t="s">
        <v>900</v>
      </c>
      <c r="K247" s="5" t="s">
        <v>22</v>
      </c>
      <c r="L247" s="3" t="s">
        <v>788</v>
      </c>
    </row>
    <row r="248" customFormat="false" ht="23.85" hidden="false" customHeight="false" outlineLevel="0" collapsed="false">
      <c r="A248" s="2" t="s">
        <v>773</v>
      </c>
      <c r="B248" s="2" t="s">
        <v>895</v>
      </c>
      <c r="C248" s="2" t="s">
        <v>14</v>
      </c>
      <c r="D248" s="2" t="s">
        <v>910</v>
      </c>
      <c r="E248" s="3" t="s">
        <v>911</v>
      </c>
      <c r="F248" s="3" t="s">
        <v>35</v>
      </c>
      <c r="G248" s="4" t="s">
        <v>912</v>
      </c>
      <c r="H248" s="3" t="s">
        <v>778</v>
      </c>
      <c r="I248" s="2" t="s">
        <v>899</v>
      </c>
      <c r="J248" s="2" t="s">
        <v>900</v>
      </c>
      <c r="K248" s="6" t="s">
        <v>30</v>
      </c>
      <c r="L248" s="3" t="s">
        <v>913</v>
      </c>
    </row>
    <row r="249" customFormat="false" ht="23.85" hidden="false" customHeight="false" outlineLevel="0" collapsed="false">
      <c r="A249" s="2" t="s">
        <v>773</v>
      </c>
      <c r="B249" s="2" t="s">
        <v>914</v>
      </c>
      <c r="C249" s="2" t="s">
        <v>14</v>
      </c>
      <c r="D249" s="2" t="s">
        <v>915</v>
      </c>
      <c r="E249" s="3" t="s">
        <v>916</v>
      </c>
      <c r="F249" s="3" t="s">
        <v>297</v>
      </c>
      <c r="G249" s="4" t="s">
        <v>917</v>
      </c>
      <c r="H249" s="3" t="s">
        <v>778</v>
      </c>
      <c r="I249" s="2" t="s">
        <v>918</v>
      </c>
      <c r="J249" s="2" t="s">
        <v>919</v>
      </c>
      <c r="K249" s="5" t="s">
        <v>22</v>
      </c>
      <c r="L249" s="3" t="s">
        <v>920</v>
      </c>
    </row>
    <row r="250" customFormat="false" ht="35.05" hidden="false" customHeight="false" outlineLevel="0" collapsed="false">
      <c r="A250" s="2" t="s">
        <v>773</v>
      </c>
      <c r="B250" s="2" t="s">
        <v>914</v>
      </c>
      <c r="C250" s="2" t="s">
        <v>14</v>
      </c>
      <c r="D250" s="2" t="s">
        <v>921</v>
      </c>
      <c r="E250" s="3" t="s">
        <v>922</v>
      </c>
      <c r="F250" s="3" t="s">
        <v>281</v>
      </c>
      <c r="G250" s="4" t="s">
        <v>923</v>
      </c>
      <c r="H250" s="3" t="s">
        <v>778</v>
      </c>
      <c r="I250" s="2" t="s">
        <v>918</v>
      </c>
      <c r="J250" s="2" t="s">
        <v>919</v>
      </c>
      <c r="K250" s="5" t="s">
        <v>22</v>
      </c>
      <c r="L250" s="3" t="s">
        <v>924</v>
      </c>
    </row>
    <row r="251" customFormat="false" ht="23.85" hidden="false" customHeight="false" outlineLevel="0" collapsed="false">
      <c r="A251" s="2" t="s">
        <v>773</v>
      </c>
      <c r="B251" s="2" t="s">
        <v>914</v>
      </c>
      <c r="C251" s="2" t="s">
        <v>14</v>
      </c>
      <c r="D251" s="2" t="s">
        <v>925</v>
      </c>
      <c r="E251" s="3" t="s">
        <v>926</v>
      </c>
      <c r="F251" s="3" t="s">
        <v>103</v>
      </c>
      <c r="G251" s="4" t="s">
        <v>927</v>
      </c>
      <c r="H251" s="3" t="s">
        <v>778</v>
      </c>
      <c r="I251" s="2" t="s">
        <v>918</v>
      </c>
      <c r="J251" s="2" t="s">
        <v>919</v>
      </c>
      <c r="K251" s="5" t="s">
        <v>22</v>
      </c>
      <c r="L251" s="3" t="s">
        <v>928</v>
      </c>
    </row>
    <row r="252" customFormat="false" ht="23.85" hidden="false" customHeight="false" outlineLevel="0" collapsed="false">
      <c r="A252" s="2" t="s">
        <v>773</v>
      </c>
      <c r="B252" s="2" t="s">
        <v>914</v>
      </c>
      <c r="C252" s="2" t="s">
        <v>14</v>
      </c>
      <c r="D252" s="2" t="s">
        <v>929</v>
      </c>
      <c r="E252" s="3" t="s">
        <v>131</v>
      </c>
      <c r="F252" s="3" t="s">
        <v>25</v>
      </c>
      <c r="G252" s="4" t="s">
        <v>930</v>
      </c>
      <c r="H252" s="3" t="s">
        <v>778</v>
      </c>
      <c r="I252" s="2" t="s">
        <v>918</v>
      </c>
      <c r="J252" s="2" t="s">
        <v>919</v>
      </c>
      <c r="K252" s="5" t="s">
        <v>22</v>
      </c>
      <c r="L252" s="3" t="s">
        <v>788</v>
      </c>
    </row>
    <row r="253" customFormat="false" ht="35.05" hidden="false" customHeight="false" outlineLevel="0" collapsed="false">
      <c r="A253" s="2" t="s">
        <v>773</v>
      </c>
      <c r="B253" s="2" t="s">
        <v>914</v>
      </c>
      <c r="C253" s="2" t="s">
        <v>14</v>
      </c>
      <c r="D253" s="2" t="s">
        <v>931</v>
      </c>
      <c r="E253" s="3" t="s">
        <v>932</v>
      </c>
      <c r="F253" s="3" t="s">
        <v>933</v>
      </c>
      <c r="G253" s="4" t="s">
        <v>934</v>
      </c>
      <c r="H253" s="3" t="s">
        <v>778</v>
      </c>
      <c r="I253" s="2" t="s">
        <v>918</v>
      </c>
      <c r="J253" s="2" t="s">
        <v>919</v>
      </c>
      <c r="K253" s="6" t="s">
        <v>30</v>
      </c>
      <c r="L253" s="3" t="s">
        <v>935</v>
      </c>
    </row>
    <row r="254" customFormat="false" ht="23.85" hidden="false" customHeight="false" outlineLevel="0" collapsed="false">
      <c r="A254" s="2" t="s">
        <v>773</v>
      </c>
      <c r="B254" s="2" t="s">
        <v>936</v>
      </c>
      <c r="C254" s="2" t="s">
        <v>14</v>
      </c>
      <c r="D254" s="2" t="s">
        <v>937</v>
      </c>
      <c r="E254" s="3" t="s">
        <v>776</v>
      </c>
      <c r="F254" s="3" t="s">
        <v>938</v>
      </c>
      <c r="G254" s="4" t="s">
        <v>939</v>
      </c>
      <c r="H254" s="3" t="s">
        <v>778</v>
      </c>
      <c r="I254" s="2" t="s">
        <v>940</v>
      </c>
      <c r="J254" s="2" t="s">
        <v>941</v>
      </c>
      <c r="K254" s="5" t="s">
        <v>22</v>
      </c>
      <c r="L254" s="3" t="s">
        <v>942</v>
      </c>
    </row>
    <row r="255" customFormat="false" ht="23.85" hidden="false" customHeight="false" outlineLevel="0" collapsed="false">
      <c r="A255" s="2" t="s">
        <v>773</v>
      </c>
      <c r="B255" s="2" t="s">
        <v>936</v>
      </c>
      <c r="C255" s="2" t="s">
        <v>14</v>
      </c>
      <c r="D255" s="2" t="s">
        <v>943</v>
      </c>
      <c r="E255" s="3" t="s">
        <v>131</v>
      </c>
      <c r="F255" s="3" t="s">
        <v>25</v>
      </c>
      <c r="G255" s="4" t="s">
        <v>944</v>
      </c>
      <c r="H255" s="3" t="s">
        <v>778</v>
      </c>
      <c r="I255" s="2" t="s">
        <v>940</v>
      </c>
      <c r="J255" s="2" t="s">
        <v>941</v>
      </c>
      <c r="K255" s="5" t="s">
        <v>22</v>
      </c>
      <c r="L255" s="3" t="s">
        <v>788</v>
      </c>
    </row>
    <row r="256" customFormat="false" ht="23.85" hidden="false" customHeight="false" outlineLevel="0" collapsed="false">
      <c r="A256" s="2" t="s">
        <v>773</v>
      </c>
      <c r="B256" s="2" t="s">
        <v>936</v>
      </c>
      <c r="C256" s="2" t="s">
        <v>14</v>
      </c>
      <c r="D256" s="2" t="s">
        <v>945</v>
      </c>
      <c r="E256" s="3" t="s">
        <v>946</v>
      </c>
      <c r="F256" s="3" t="s">
        <v>947</v>
      </c>
      <c r="G256" s="4" t="s">
        <v>948</v>
      </c>
      <c r="H256" s="3" t="s">
        <v>778</v>
      </c>
      <c r="I256" s="2" t="s">
        <v>940</v>
      </c>
      <c r="J256" s="2" t="s">
        <v>941</v>
      </c>
      <c r="K256" s="6" t="s">
        <v>30</v>
      </c>
      <c r="L256" s="3" t="s">
        <v>949</v>
      </c>
    </row>
    <row r="257" customFormat="false" ht="35.05" hidden="false" customHeight="false" outlineLevel="0" collapsed="false">
      <c r="A257" s="2" t="s">
        <v>773</v>
      </c>
      <c r="B257" s="2" t="s">
        <v>936</v>
      </c>
      <c r="C257" s="2" t="s">
        <v>14</v>
      </c>
      <c r="D257" s="2" t="s">
        <v>950</v>
      </c>
      <c r="E257" s="3" t="s">
        <v>387</v>
      </c>
      <c r="F257" s="3" t="s">
        <v>35</v>
      </c>
      <c r="G257" s="4" t="s">
        <v>951</v>
      </c>
      <c r="H257" s="3" t="s">
        <v>867</v>
      </c>
      <c r="I257" s="2" t="s">
        <v>940</v>
      </c>
      <c r="J257" s="2" t="s">
        <v>941</v>
      </c>
      <c r="K257" s="6" t="s">
        <v>30</v>
      </c>
      <c r="L257" s="3" t="s">
        <v>952</v>
      </c>
    </row>
    <row r="258" customFormat="false" ht="23.85" hidden="false" customHeight="false" outlineLevel="0" collapsed="false">
      <c r="A258" s="2" t="s">
        <v>773</v>
      </c>
      <c r="B258" s="2" t="s">
        <v>936</v>
      </c>
      <c r="C258" s="2" t="s">
        <v>14</v>
      </c>
      <c r="D258" s="2" t="s">
        <v>953</v>
      </c>
      <c r="E258" s="3" t="s">
        <v>136</v>
      </c>
      <c r="F258" s="3" t="s">
        <v>25</v>
      </c>
      <c r="G258" s="4" t="s">
        <v>954</v>
      </c>
      <c r="H258" s="3" t="s">
        <v>778</v>
      </c>
      <c r="I258" s="2" t="s">
        <v>940</v>
      </c>
      <c r="J258" s="2" t="s">
        <v>941</v>
      </c>
      <c r="K258" s="7" t="s">
        <v>37</v>
      </c>
      <c r="L258" s="3" t="s">
        <v>788</v>
      </c>
    </row>
    <row r="259" customFormat="false" ht="23.85" hidden="false" customHeight="false" outlineLevel="0" collapsed="false">
      <c r="A259" s="2" t="s">
        <v>773</v>
      </c>
      <c r="B259" s="2" t="s">
        <v>955</v>
      </c>
      <c r="C259" s="2" t="s">
        <v>14</v>
      </c>
      <c r="D259" s="2" t="s">
        <v>956</v>
      </c>
      <c r="E259" s="3" t="s">
        <v>957</v>
      </c>
      <c r="F259" s="3" t="s">
        <v>865</v>
      </c>
      <c r="G259" s="4" t="s">
        <v>958</v>
      </c>
      <c r="H259" s="3" t="s">
        <v>778</v>
      </c>
      <c r="I259" s="2" t="s">
        <v>959</v>
      </c>
      <c r="J259" s="2" t="s">
        <v>960</v>
      </c>
      <c r="K259" s="5" t="s">
        <v>22</v>
      </c>
      <c r="L259" s="3" t="s">
        <v>961</v>
      </c>
    </row>
    <row r="260" customFormat="false" ht="23.85" hidden="false" customHeight="false" outlineLevel="0" collapsed="false">
      <c r="A260" s="2" t="s">
        <v>773</v>
      </c>
      <c r="B260" s="2" t="s">
        <v>955</v>
      </c>
      <c r="C260" s="2" t="s">
        <v>14</v>
      </c>
      <c r="D260" s="2" t="s">
        <v>962</v>
      </c>
      <c r="E260" s="3" t="s">
        <v>131</v>
      </c>
      <c r="F260" s="3" t="s">
        <v>25</v>
      </c>
      <c r="G260" s="4" t="s">
        <v>963</v>
      </c>
      <c r="H260" s="3" t="s">
        <v>92</v>
      </c>
      <c r="I260" s="2" t="s">
        <v>964</v>
      </c>
      <c r="J260" s="2" t="s">
        <v>960</v>
      </c>
      <c r="K260" s="5" t="s">
        <v>22</v>
      </c>
      <c r="L260" s="3" t="s">
        <v>788</v>
      </c>
    </row>
    <row r="261" customFormat="false" ht="23.85" hidden="false" customHeight="false" outlineLevel="0" collapsed="false">
      <c r="A261" s="2" t="s">
        <v>773</v>
      </c>
      <c r="B261" s="2" t="s">
        <v>955</v>
      </c>
      <c r="C261" s="2" t="s">
        <v>14</v>
      </c>
      <c r="D261" s="2" t="s">
        <v>965</v>
      </c>
      <c r="E261" s="3" t="s">
        <v>966</v>
      </c>
      <c r="F261" s="3" t="s">
        <v>947</v>
      </c>
      <c r="G261" s="4" t="s">
        <v>967</v>
      </c>
      <c r="H261" s="3" t="s">
        <v>778</v>
      </c>
      <c r="I261" s="2" t="s">
        <v>959</v>
      </c>
      <c r="J261" s="2" t="s">
        <v>960</v>
      </c>
      <c r="K261" s="6" t="s">
        <v>30</v>
      </c>
      <c r="L261" s="3" t="s">
        <v>968</v>
      </c>
    </row>
    <row r="262" customFormat="false" ht="23.85" hidden="false" customHeight="false" outlineLevel="0" collapsed="false">
      <c r="A262" s="2" t="s">
        <v>773</v>
      </c>
      <c r="B262" s="2" t="s">
        <v>955</v>
      </c>
      <c r="C262" s="2" t="s">
        <v>14</v>
      </c>
      <c r="D262" s="2" t="s">
        <v>969</v>
      </c>
      <c r="E262" s="3" t="s">
        <v>387</v>
      </c>
      <c r="F262" s="3" t="s">
        <v>35</v>
      </c>
      <c r="G262" s="4" t="s">
        <v>970</v>
      </c>
      <c r="H262" s="3" t="s">
        <v>778</v>
      </c>
      <c r="I262" s="2" t="s">
        <v>959</v>
      </c>
      <c r="J262" s="2" t="s">
        <v>960</v>
      </c>
      <c r="K262" s="6" t="s">
        <v>30</v>
      </c>
      <c r="L262" s="3" t="s">
        <v>968</v>
      </c>
    </row>
    <row r="263" customFormat="false" ht="23.85" hidden="false" customHeight="false" outlineLevel="0" collapsed="false">
      <c r="A263" s="2" t="s">
        <v>773</v>
      </c>
      <c r="B263" s="2" t="s">
        <v>955</v>
      </c>
      <c r="C263" s="2" t="s">
        <v>14</v>
      </c>
      <c r="D263" s="2" t="s">
        <v>971</v>
      </c>
      <c r="E263" s="3" t="s">
        <v>136</v>
      </c>
      <c r="F263" s="3" t="s">
        <v>25</v>
      </c>
      <c r="G263" s="4" t="s">
        <v>972</v>
      </c>
      <c r="H263" s="3" t="s">
        <v>778</v>
      </c>
      <c r="I263" s="2" t="s">
        <v>959</v>
      </c>
      <c r="J263" s="2" t="s">
        <v>960</v>
      </c>
      <c r="K263" s="7" t="s">
        <v>37</v>
      </c>
      <c r="L263" s="3" t="s">
        <v>788</v>
      </c>
    </row>
    <row r="264" customFormat="false" ht="46.25" hidden="false" customHeight="false" outlineLevel="0" collapsed="false">
      <c r="A264" s="2" t="s">
        <v>773</v>
      </c>
      <c r="B264" s="2" t="s">
        <v>973</v>
      </c>
      <c r="C264" s="2" t="s">
        <v>22</v>
      </c>
      <c r="D264" s="2" t="s">
        <v>974</v>
      </c>
      <c r="E264" s="3" t="s">
        <v>975</v>
      </c>
      <c r="F264" s="3" t="s">
        <v>976</v>
      </c>
      <c r="G264" s="4" t="s">
        <v>977</v>
      </c>
      <c r="H264" s="3" t="s">
        <v>778</v>
      </c>
      <c r="I264" s="2" t="s">
        <v>978</v>
      </c>
      <c r="J264" s="2" t="s">
        <v>979</v>
      </c>
      <c r="K264" s="5" t="s">
        <v>22</v>
      </c>
      <c r="L264" s="3" t="s">
        <v>980</v>
      </c>
    </row>
    <row r="265" customFormat="false" ht="23.85" hidden="false" customHeight="false" outlineLevel="0" collapsed="false">
      <c r="A265" s="2" t="s">
        <v>773</v>
      </c>
      <c r="B265" s="2" t="s">
        <v>973</v>
      </c>
      <c r="C265" s="2" t="s">
        <v>22</v>
      </c>
      <c r="D265" s="2" t="s">
        <v>981</v>
      </c>
      <c r="E265" s="3" t="s">
        <v>982</v>
      </c>
      <c r="F265" s="3" t="s">
        <v>933</v>
      </c>
      <c r="G265" s="4" t="s">
        <v>983</v>
      </c>
      <c r="H265" s="3" t="s">
        <v>778</v>
      </c>
      <c r="I265" s="2" t="s">
        <v>978</v>
      </c>
      <c r="J265" s="2" t="s">
        <v>979</v>
      </c>
      <c r="K265" s="5" t="s">
        <v>22</v>
      </c>
      <c r="L265" s="3" t="s">
        <v>984</v>
      </c>
    </row>
    <row r="266" customFormat="false" ht="23.85" hidden="false" customHeight="false" outlineLevel="0" collapsed="false">
      <c r="A266" s="2" t="s">
        <v>773</v>
      </c>
      <c r="B266" s="2" t="s">
        <v>973</v>
      </c>
      <c r="C266" s="2" t="s">
        <v>22</v>
      </c>
      <c r="D266" s="2" t="s">
        <v>985</v>
      </c>
      <c r="E266" s="3" t="s">
        <v>131</v>
      </c>
      <c r="F266" s="3" t="s">
        <v>25</v>
      </c>
      <c r="G266" s="4" t="s">
        <v>986</v>
      </c>
      <c r="H266" s="3" t="s">
        <v>778</v>
      </c>
      <c r="I266" s="2" t="s">
        <v>978</v>
      </c>
      <c r="J266" s="2" t="s">
        <v>979</v>
      </c>
      <c r="K266" s="5" t="s">
        <v>22</v>
      </c>
      <c r="L266" s="3" t="s">
        <v>788</v>
      </c>
    </row>
    <row r="267" customFormat="false" ht="23.85" hidden="false" customHeight="false" outlineLevel="0" collapsed="false">
      <c r="A267" s="2" t="s">
        <v>773</v>
      </c>
      <c r="B267" s="2" t="s">
        <v>973</v>
      </c>
      <c r="C267" s="2" t="s">
        <v>22</v>
      </c>
      <c r="D267" s="2" t="s">
        <v>987</v>
      </c>
      <c r="E267" s="3" t="s">
        <v>988</v>
      </c>
      <c r="F267" s="3" t="s">
        <v>989</v>
      </c>
      <c r="G267" s="4" t="s">
        <v>990</v>
      </c>
      <c r="H267" s="3" t="s">
        <v>778</v>
      </c>
      <c r="I267" s="2" t="s">
        <v>978</v>
      </c>
      <c r="J267" s="2" t="s">
        <v>979</v>
      </c>
      <c r="K267" s="6" t="s">
        <v>30</v>
      </c>
      <c r="L267" s="3" t="s">
        <v>991</v>
      </c>
    </row>
    <row r="268" customFormat="false" ht="23.85" hidden="false" customHeight="false" outlineLevel="0" collapsed="false">
      <c r="A268" s="2" t="s">
        <v>773</v>
      </c>
      <c r="B268" s="2" t="s">
        <v>973</v>
      </c>
      <c r="C268" s="2" t="s">
        <v>22</v>
      </c>
      <c r="D268" s="2" t="s">
        <v>992</v>
      </c>
      <c r="E268" s="3" t="s">
        <v>136</v>
      </c>
      <c r="F268" s="3" t="s">
        <v>25</v>
      </c>
      <c r="G268" s="4" t="s">
        <v>993</v>
      </c>
      <c r="H268" s="3" t="s">
        <v>778</v>
      </c>
      <c r="I268" s="2" t="s">
        <v>978</v>
      </c>
      <c r="J268" s="2" t="s">
        <v>979</v>
      </c>
      <c r="K268" s="7" t="s">
        <v>37</v>
      </c>
      <c r="L268" s="3" t="s">
        <v>788</v>
      </c>
    </row>
    <row r="269" customFormat="false" ht="35.05" hidden="false" customHeight="false" outlineLevel="0" collapsed="false">
      <c r="A269" s="2" t="s">
        <v>773</v>
      </c>
      <c r="B269" s="2" t="s">
        <v>994</v>
      </c>
      <c r="C269" s="2" t="s">
        <v>22</v>
      </c>
      <c r="D269" s="2" t="s">
        <v>995</v>
      </c>
      <c r="E269" s="3" t="s">
        <v>922</v>
      </c>
      <c r="F269" s="3" t="s">
        <v>281</v>
      </c>
      <c r="G269" s="4" t="s">
        <v>996</v>
      </c>
      <c r="H269" s="3" t="s">
        <v>867</v>
      </c>
      <c r="I269" s="2" t="s">
        <v>997</v>
      </c>
      <c r="J269" s="2" t="s">
        <v>998</v>
      </c>
      <c r="K269" s="5" t="s">
        <v>22</v>
      </c>
      <c r="L269" s="3" t="s">
        <v>999</v>
      </c>
    </row>
    <row r="270" customFormat="false" ht="23.85" hidden="false" customHeight="false" outlineLevel="0" collapsed="false">
      <c r="A270" s="2" t="s">
        <v>773</v>
      </c>
      <c r="B270" s="2" t="s">
        <v>994</v>
      </c>
      <c r="C270" s="2" t="s">
        <v>22</v>
      </c>
      <c r="D270" s="2" t="s">
        <v>1000</v>
      </c>
      <c r="E270" s="3" t="s">
        <v>922</v>
      </c>
      <c r="F270" s="3" t="s">
        <v>281</v>
      </c>
      <c r="G270" s="4" t="s">
        <v>1001</v>
      </c>
      <c r="H270" s="3" t="s">
        <v>778</v>
      </c>
      <c r="I270" s="2" t="s">
        <v>997</v>
      </c>
      <c r="J270" s="2" t="s">
        <v>998</v>
      </c>
      <c r="K270" s="5" t="s">
        <v>22</v>
      </c>
      <c r="L270" s="3" t="s">
        <v>1002</v>
      </c>
    </row>
    <row r="271" customFormat="false" ht="23.85" hidden="false" customHeight="false" outlineLevel="0" collapsed="false">
      <c r="A271" s="2" t="s">
        <v>773</v>
      </c>
      <c r="B271" s="2" t="s">
        <v>994</v>
      </c>
      <c r="C271" s="2" t="s">
        <v>22</v>
      </c>
      <c r="D271" s="2" t="s">
        <v>1003</v>
      </c>
      <c r="E271" s="3" t="s">
        <v>131</v>
      </c>
      <c r="F271" s="3" t="s">
        <v>25</v>
      </c>
      <c r="G271" s="4" t="s">
        <v>1004</v>
      </c>
      <c r="H271" s="3" t="s">
        <v>778</v>
      </c>
      <c r="I271" s="2" t="s">
        <v>997</v>
      </c>
      <c r="J271" s="2" t="s">
        <v>998</v>
      </c>
      <c r="K271" s="5" t="s">
        <v>22</v>
      </c>
      <c r="L271" s="3" t="s">
        <v>788</v>
      </c>
    </row>
    <row r="272" customFormat="false" ht="23.85" hidden="false" customHeight="false" outlineLevel="0" collapsed="false">
      <c r="A272" s="2" t="s">
        <v>773</v>
      </c>
      <c r="B272" s="2" t="s">
        <v>994</v>
      </c>
      <c r="C272" s="2" t="s">
        <v>22</v>
      </c>
      <c r="D272" s="2" t="s">
        <v>1005</v>
      </c>
      <c r="E272" s="3" t="s">
        <v>387</v>
      </c>
      <c r="F272" s="3" t="s">
        <v>35</v>
      </c>
      <c r="G272" s="4" t="s">
        <v>1006</v>
      </c>
      <c r="H272" s="3" t="s">
        <v>778</v>
      </c>
      <c r="I272" s="2" t="s">
        <v>997</v>
      </c>
      <c r="J272" s="2" t="s">
        <v>998</v>
      </c>
      <c r="K272" s="6" t="s">
        <v>30</v>
      </c>
      <c r="L272" s="3" t="s">
        <v>1002</v>
      </c>
    </row>
    <row r="273" customFormat="false" ht="23.85" hidden="false" customHeight="false" outlineLevel="0" collapsed="false">
      <c r="A273" s="2" t="s">
        <v>773</v>
      </c>
      <c r="B273" s="2" t="s">
        <v>994</v>
      </c>
      <c r="C273" s="2" t="s">
        <v>22</v>
      </c>
      <c r="D273" s="2" t="s">
        <v>1007</v>
      </c>
      <c r="E273" s="3" t="s">
        <v>136</v>
      </c>
      <c r="F273" s="3" t="s">
        <v>25</v>
      </c>
      <c r="G273" s="4" t="s">
        <v>1008</v>
      </c>
      <c r="H273" s="3" t="s">
        <v>778</v>
      </c>
      <c r="I273" s="2" t="s">
        <v>997</v>
      </c>
      <c r="J273" s="2" t="s">
        <v>998</v>
      </c>
      <c r="K273" s="7" t="s">
        <v>37</v>
      </c>
      <c r="L273" s="3" t="s">
        <v>788</v>
      </c>
    </row>
    <row r="274" customFormat="false" ht="23.85" hidden="false" customHeight="false" outlineLevel="0" collapsed="false">
      <c r="A274" s="2" t="s">
        <v>773</v>
      </c>
      <c r="B274" s="2" t="s">
        <v>1009</v>
      </c>
      <c r="C274" s="2" t="s">
        <v>22</v>
      </c>
      <c r="D274" s="2" t="s">
        <v>1010</v>
      </c>
      <c r="E274" s="3" t="s">
        <v>1011</v>
      </c>
      <c r="F274" s="3" t="s">
        <v>1012</v>
      </c>
      <c r="G274" s="4" t="s">
        <v>1013</v>
      </c>
      <c r="H274" s="3" t="s">
        <v>778</v>
      </c>
      <c r="I274" s="2" t="s">
        <v>1014</v>
      </c>
      <c r="J274" s="2" t="s">
        <v>1015</v>
      </c>
      <c r="K274" s="5" t="s">
        <v>22</v>
      </c>
      <c r="L274" s="3" t="s">
        <v>1016</v>
      </c>
    </row>
    <row r="275" customFormat="false" ht="23.85" hidden="false" customHeight="false" outlineLevel="0" collapsed="false">
      <c r="A275" s="2" t="s">
        <v>773</v>
      </c>
      <c r="B275" s="2" t="s">
        <v>1009</v>
      </c>
      <c r="C275" s="2" t="s">
        <v>22</v>
      </c>
      <c r="D275" s="2" t="s">
        <v>1017</v>
      </c>
      <c r="E275" s="3" t="s">
        <v>1018</v>
      </c>
      <c r="F275" s="3" t="s">
        <v>281</v>
      </c>
      <c r="G275" s="4" t="s">
        <v>1019</v>
      </c>
      <c r="H275" s="3" t="s">
        <v>778</v>
      </c>
      <c r="I275" s="2" t="s">
        <v>1014</v>
      </c>
      <c r="J275" s="2" t="s">
        <v>1015</v>
      </c>
      <c r="K275" s="5" t="s">
        <v>22</v>
      </c>
      <c r="L275" s="3" t="s">
        <v>1020</v>
      </c>
    </row>
    <row r="276" customFormat="false" ht="23.85" hidden="false" customHeight="false" outlineLevel="0" collapsed="false">
      <c r="A276" s="2" t="s">
        <v>773</v>
      </c>
      <c r="B276" s="2" t="s">
        <v>1009</v>
      </c>
      <c r="C276" s="2" t="s">
        <v>22</v>
      </c>
      <c r="D276" s="2" t="s">
        <v>1021</v>
      </c>
      <c r="E276" s="3" t="s">
        <v>131</v>
      </c>
      <c r="F276" s="3" t="s">
        <v>25</v>
      </c>
      <c r="G276" s="4" t="s">
        <v>1022</v>
      </c>
      <c r="H276" s="3" t="s">
        <v>778</v>
      </c>
      <c r="I276" s="2" t="s">
        <v>1014</v>
      </c>
      <c r="J276" s="2" t="s">
        <v>1015</v>
      </c>
      <c r="K276" s="5" t="s">
        <v>22</v>
      </c>
      <c r="L276" s="3" t="s">
        <v>788</v>
      </c>
    </row>
    <row r="277" customFormat="false" ht="23.85" hidden="false" customHeight="false" outlineLevel="0" collapsed="false">
      <c r="A277" s="2" t="s">
        <v>773</v>
      </c>
      <c r="B277" s="2" t="s">
        <v>1009</v>
      </c>
      <c r="C277" s="2" t="s">
        <v>22</v>
      </c>
      <c r="D277" s="2" t="s">
        <v>1023</v>
      </c>
      <c r="E277" s="3" t="s">
        <v>136</v>
      </c>
      <c r="F277" s="3" t="s">
        <v>25</v>
      </c>
      <c r="G277" s="4" t="s">
        <v>1024</v>
      </c>
      <c r="H277" s="3" t="s">
        <v>778</v>
      </c>
      <c r="I277" s="2" t="s">
        <v>1014</v>
      </c>
      <c r="J277" s="2" t="s">
        <v>1015</v>
      </c>
      <c r="K277" s="7" t="s">
        <v>37</v>
      </c>
      <c r="L277" s="3" t="s">
        <v>788</v>
      </c>
    </row>
    <row r="278" customFormat="false" ht="23.85" hidden="false" customHeight="false" outlineLevel="0" collapsed="false">
      <c r="A278" s="2" t="s">
        <v>773</v>
      </c>
      <c r="B278" s="2" t="s">
        <v>1025</v>
      </c>
      <c r="C278" s="2" t="s">
        <v>22</v>
      </c>
      <c r="D278" s="2" t="s">
        <v>1026</v>
      </c>
      <c r="E278" s="3" t="s">
        <v>1027</v>
      </c>
      <c r="F278" s="3" t="s">
        <v>1028</v>
      </c>
      <c r="G278" s="4" t="s">
        <v>1029</v>
      </c>
      <c r="H278" s="3" t="s">
        <v>778</v>
      </c>
      <c r="I278" s="2" t="s">
        <v>1030</v>
      </c>
      <c r="J278" s="2" t="s">
        <v>1031</v>
      </c>
      <c r="K278" s="5" t="s">
        <v>22</v>
      </c>
      <c r="L278" s="3" t="s">
        <v>1032</v>
      </c>
    </row>
    <row r="279" customFormat="false" ht="23.85" hidden="false" customHeight="false" outlineLevel="0" collapsed="false">
      <c r="A279" s="2" t="s">
        <v>773</v>
      </c>
      <c r="B279" s="2" t="s">
        <v>1025</v>
      </c>
      <c r="C279" s="2" t="s">
        <v>22</v>
      </c>
      <c r="D279" s="2" t="s">
        <v>1033</v>
      </c>
      <c r="E279" s="3" t="s">
        <v>1034</v>
      </c>
      <c r="F279" s="3" t="s">
        <v>1035</v>
      </c>
      <c r="G279" s="4" t="s">
        <v>1036</v>
      </c>
      <c r="H279" s="3" t="s">
        <v>778</v>
      </c>
      <c r="I279" s="2" t="s">
        <v>1030</v>
      </c>
      <c r="J279" s="2" t="s">
        <v>1031</v>
      </c>
      <c r="K279" s="5" t="s">
        <v>22</v>
      </c>
      <c r="L279" s="3" t="s">
        <v>1032</v>
      </c>
    </row>
    <row r="280" customFormat="false" ht="23.85" hidden="false" customHeight="false" outlineLevel="0" collapsed="false">
      <c r="A280" s="2" t="s">
        <v>773</v>
      </c>
      <c r="B280" s="2" t="s">
        <v>1025</v>
      </c>
      <c r="C280" s="2" t="s">
        <v>22</v>
      </c>
      <c r="D280" s="2" t="s">
        <v>1037</v>
      </c>
      <c r="E280" s="3" t="s">
        <v>1038</v>
      </c>
      <c r="F280" s="3" t="s">
        <v>1039</v>
      </c>
      <c r="G280" s="4" t="s">
        <v>1040</v>
      </c>
      <c r="H280" s="3" t="s">
        <v>778</v>
      </c>
      <c r="I280" s="2" t="s">
        <v>1030</v>
      </c>
      <c r="J280" s="2" t="s">
        <v>1031</v>
      </c>
      <c r="K280" s="5" t="s">
        <v>22</v>
      </c>
      <c r="L280" s="3" t="s">
        <v>1041</v>
      </c>
    </row>
    <row r="281" customFormat="false" ht="23.85" hidden="false" customHeight="false" outlineLevel="0" collapsed="false">
      <c r="A281" s="2" t="s">
        <v>773</v>
      </c>
      <c r="B281" s="2" t="s">
        <v>1025</v>
      </c>
      <c r="C281" s="2" t="s">
        <v>22</v>
      </c>
      <c r="D281" s="2" t="s">
        <v>1042</v>
      </c>
      <c r="E281" s="3" t="s">
        <v>131</v>
      </c>
      <c r="F281" s="3" t="s">
        <v>25</v>
      </c>
      <c r="G281" s="4" t="s">
        <v>1043</v>
      </c>
      <c r="H281" s="3" t="s">
        <v>778</v>
      </c>
      <c r="I281" s="2" t="s">
        <v>1030</v>
      </c>
      <c r="J281" s="2" t="s">
        <v>1031</v>
      </c>
      <c r="K281" s="5" t="s">
        <v>22</v>
      </c>
      <c r="L281" s="3" t="s">
        <v>788</v>
      </c>
    </row>
    <row r="282" customFormat="false" ht="23.85" hidden="false" customHeight="false" outlineLevel="0" collapsed="false">
      <c r="A282" s="2" t="s">
        <v>773</v>
      </c>
      <c r="B282" s="2" t="s">
        <v>1025</v>
      </c>
      <c r="C282" s="2" t="s">
        <v>22</v>
      </c>
      <c r="D282" s="2" t="s">
        <v>1044</v>
      </c>
      <c r="E282" s="3" t="s">
        <v>136</v>
      </c>
      <c r="F282" s="3" t="s">
        <v>25</v>
      </c>
      <c r="G282" s="4" t="s">
        <v>1045</v>
      </c>
      <c r="H282" s="3" t="s">
        <v>778</v>
      </c>
      <c r="I282" s="2" t="s">
        <v>1030</v>
      </c>
      <c r="J282" s="2" t="s">
        <v>1031</v>
      </c>
      <c r="K282" s="7" t="s">
        <v>37</v>
      </c>
      <c r="L282" s="3" t="s">
        <v>788</v>
      </c>
    </row>
    <row r="283" customFormat="false" ht="23.85" hidden="false" customHeight="false" outlineLevel="0" collapsed="false">
      <c r="A283" s="2" t="s">
        <v>773</v>
      </c>
      <c r="B283" s="2" t="s">
        <v>1046</v>
      </c>
      <c r="C283" s="2" t="s">
        <v>22</v>
      </c>
      <c r="D283" s="2" t="s">
        <v>1047</v>
      </c>
      <c r="E283" s="3" t="s">
        <v>1048</v>
      </c>
      <c r="F283" s="3" t="s">
        <v>1049</v>
      </c>
      <c r="G283" s="4" t="s">
        <v>1050</v>
      </c>
      <c r="H283" s="3" t="s">
        <v>778</v>
      </c>
      <c r="I283" s="2" t="s">
        <v>1051</v>
      </c>
      <c r="J283" s="2" t="s">
        <v>1052</v>
      </c>
      <c r="K283" s="5" t="s">
        <v>22</v>
      </c>
      <c r="L283" s="3" t="s">
        <v>1053</v>
      </c>
    </row>
    <row r="284" customFormat="false" ht="23.85" hidden="false" customHeight="false" outlineLevel="0" collapsed="false">
      <c r="A284" s="2" t="s">
        <v>773</v>
      </c>
      <c r="B284" s="2" t="s">
        <v>1046</v>
      </c>
      <c r="C284" s="2" t="s">
        <v>22</v>
      </c>
      <c r="D284" s="2" t="s">
        <v>1054</v>
      </c>
      <c r="E284" s="3" t="s">
        <v>1055</v>
      </c>
      <c r="F284" s="3" t="s">
        <v>1039</v>
      </c>
      <c r="G284" s="4" t="s">
        <v>1056</v>
      </c>
      <c r="H284" s="3" t="s">
        <v>778</v>
      </c>
      <c r="I284" s="2" t="s">
        <v>1051</v>
      </c>
      <c r="J284" s="2" t="s">
        <v>1052</v>
      </c>
      <c r="K284" s="5" t="s">
        <v>22</v>
      </c>
      <c r="L284" s="3" t="s">
        <v>1053</v>
      </c>
    </row>
    <row r="285" customFormat="false" ht="35.05" hidden="false" customHeight="false" outlineLevel="0" collapsed="false">
      <c r="A285" s="2" t="s">
        <v>773</v>
      </c>
      <c r="B285" s="2" t="s">
        <v>1046</v>
      </c>
      <c r="C285" s="2" t="s">
        <v>22</v>
      </c>
      <c r="D285" s="2" t="s">
        <v>1057</v>
      </c>
      <c r="E285" s="3" t="s">
        <v>1058</v>
      </c>
      <c r="F285" s="3" t="s">
        <v>320</v>
      </c>
      <c r="G285" s="4" t="s">
        <v>1059</v>
      </c>
      <c r="H285" s="3" t="s">
        <v>867</v>
      </c>
      <c r="I285" s="2" t="s">
        <v>1051</v>
      </c>
      <c r="J285" s="2" t="s">
        <v>1052</v>
      </c>
      <c r="K285" s="5" t="s">
        <v>22</v>
      </c>
      <c r="L285" s="3" t="s">
        <v>1060</v>
      </c>
    </row>
    <row r="286" customFormat="false" ht="23.85" hidden="false" customHeight="false" outlineLevel="0" collapsed="false">
      <c r="A286" s="2" t="s">
        <v>773</v>
      </c>
      <c r="B286" s="2" t="s">
        <v>1046</v>
      </c>
      <c r="C286" s="2" t="s">
        <v>22</v>
      </c>
      <c r="D286" s="2" t="s">
        <v>1061</v>
      </c>
      <c r="E286" s="3" t="s">
        <v>131</v>
      </c>
      <c r="F286" s="3" t="s">
        <v>25</v>
      </c>
      <c r="G286" s="4" t="s">
        <v>1062</v>
      </c>
      <c r="H286" s="3" t="s">
        <v>778</v>
      </c>
      <c r="I286" s="2" t="s">
        <v>1051</v>
      </c>
      <c r="J286" s="2" t="s">
        <v>1052</v>
      </c>
      <c r="K286" s="5" t="s">
        <v>22</v>
      </c>
      <c r="L286" s="3" t="s">
        <v>788</v>
      </c>
    </row>
    <row r="287" customFormat="false" ht="23.85" hidden="false" customHeight="false" outlineLevel="0" collapsed="false">
      <c r="A287" s="2" t="s">
        <v>773</v>
      </c>
      <c r="B287" s="2" t="s">
        <v>1046</v>
      </c>
      <c r="C287" s="2" t="s">
        <v>22</v>
      </c>
      <c r="D287" s="2" t="s">
        <v>1063</v>
      </c>
      <c r="E287" s="3" t="s">
        <v>1064</v>
      </c>
      <c r="F287" s="3" t="s">
        <v>1065</v>
      </c>
      <c r="G287" s="4" t="s">
        <v>1066</v>
      </c>
      <c r="H287" s="3" t="s">
        <v>778</v>
      </c>
      <c r="I287" s="2" t="s">
        <v>1051</v>
      </c>
      <c r="J287" s="2" t="s">
        <v>1052</v>
      </c>
      <c r="K287" s="6" t="s">
        <v>30</v>
      </c>
      <c r="L287" s="3" t="s">
        <v>1053</v>
      </c>
    </row>
    <row r="288" customFormat="false" ht="23.85" hidden="false" customHeight="false" outlineLevel="0" collapsed="false">
      <c r="A288" s="2" t="s">
        <v>773</v>
      </c>
      <c r="B288" s="2" t="s">
        <v>1067</v>
      </c>
      <c r="C288" s="2" t="s">
        <v>22</v>
      </c>
      <c r="D288" s="2" t="s">
        <v>1068</v>
      </c>
      <c r="E288" s="3" t="s">
        <v>776</v>
      </c>
      <c r="F288" s="3" t="s">
        <v>938</v>
      </c>
      <c r="G288" s="4" t="s">
        <v>1069</v>
      </c>
      <c r="H288" s="3" t="s">
        <v>778</v>
      </c>
      <c r="I288" s="2" t="s">
        <v>1070</v>
      </c>
      <c r="J288" s="2" t="s">
        <v>1071</v>
      </c>
      <c r="K288" s="5" t="s">
        <v>22</v>
      </c>
      <c r="L288" s="3" t="s">
        <v>1072</v>
      </c>
    </row>
    <row r="289" customFormat="false" ht="46.25" hidden="false" customHeight="false" outlineLevel="0" collapsed="false">
      <c r="A289" s="2" t="s">
        <v>773</v>
      </c>
      <c r="B289" s="2" t="s">
        <v>1067</v>
      </c>
      <c r="C289" s="2" t="s">
        <v>22</v>
      </c>
      <c r="D289" s="2" t="s">
        <v>1073</v>
      </c>
      <c r="E289" s="3" t="s">
        <v>1074</v>
      </c>
      <c r="F289" s="3" t="s">
        <v>103</v>
      </c>
      <c r="G289" s="4" t="s">
        <v>1075</v>
      </c>
      <c r="H289" s="3" t="s">
        <v>867</v>
      </c>
      <c r="I289" s="2" t="s">
        <v>1070</v>
      </c>
      <c r="J289" s="2" t="s">
        <v>1071</v>
      </c>
      <c r="K289" s="5" t="s">
        <v>22</v>
      </c>
      <c r="L289" s="3" t="s">
        <v>1076</v>
      </c>
    </row>
    <row r="290" customFormat="false" ht="46.25" hidden="false" customHeight="false" outlineLevel="0" collapsed="false">
      <c r="A290" s="2" t="s">
        <v>773</v>
      </c>
      <c r="B290" s="2" t="s">
        <v>1067</v>
      </c>
      <c r="C290" s="2" t="s">
        <v>22</v>
      </c>
      <c r="D290" s="2" t="s">
        <v>1077</v>
      </c>
      <c r="E290" s="3" t="s">
        <v>1074</v>
      </c>
      <c r="F290" s="3" t="s">
        <v>103</v>
      </c>
      <c r="G290" s="4" t="s">
        <v>1078</v>
      </c>
      <c r="H290" s="3" t="s">
        <v>867</v>
      </c>
      <c r="I290" s="2" t="s">
        <v>1070</v>
      </c>
      <c r="J290" s="2" t="s">
        <v>1071</v>
      </c>
      <c r="K290" s="5" t="s">
        <v>22</v>
      </c>
      <c r="L290" s="3" t="s">
        <v>1079</v>
      </c>
    </row>
    <row r="291" customFormat="false" ht="23.85" hidden="false" customHeight="false" outlineLevel="0" collapsed="false">
      <c r="A291" s="2" t="s">
        <v>773</v>
      </c>
      <c r="B291" s="2" t="s">
        <v>1067</v>
      </c>
      <c r="C291" s="2" t="s">
        <v>22</v>
      </c>
      <c r="D291" s="2" t="s">
        <v>1080</v>
      </c>
      <c r="E291" s="3" t="s">
        <v>131</v>
      </c>
      <c r="F291" s="3" t="s">
        <v>25</v>
      </c>
      <c r="G291" s="4" t="s">
        <v>1081</v>
      </c>
      <c r="H291" s="3" t="s">
        <v>778</v>
      </c>
      <c r="I291" s="2" t="s">
        <v>1070</v>
      </c>
      <c r="J291" s="2" t="s">
        <v>1071</v>
      </c>
      <c r="K291" s="5" t="s">
        <v>22</v>
      </c>
      <c r="L291" s="3" t="s">
        <v>788</v>
      </c>
    </row>
    <row r="292" customFormat="false" ht="23.85" hidden="false" customHeight="false" outlineLevel="0" collapsed="false">
      <c r="A292" s="2" t="s">
        <v>773</v>
      </c>
      <c r="B292" s="2" t="s">
        <v>1067</v>
      </c>
      <c r="C292" s="2" t="s">
        <v>22</v>
      </c>
      <c r="D292" s="2" t="s">
        <v>1082</v>
      </c>
      <c r="E292" s="3" t="s">
        <v>136</v>
      </c>
      <c r="F292" s="3" t="s">
        <v>25</v>
      </c>
      <c r="G292" s="4" t="s">
        <v>1083</v>
      </c>
      <c r="H292" s="3" t="s">
        <v>778</v>
      </c>
      <c r="I292" s="2" t="s">
        <v>1070</v>
      </c>
      <c r="J292" s="2" t="s">
        <v>1071</v>
      </c>
      <c r="K292" s="7" t="s">
        <v>37</v>
      </c>
      <c r="L292" s="3" t="s">
        <v>788</v>
      </c>
    </row>
    <row r="293" customFormat="false" ht="46.25" hidden="false" customHeight="false" outlineLevel="0" collapsed="false">
      <c r="A293" s="2" t="s">
        <v>773</v>
      </c>
      <c r="B293" s="2" t="s">
        <v>1084</v>
      </c>
      <c r="C293" s="2" t="s">
        <v>22</v>
      </c>
      <c r="D293" s="2" t="s">
        <v>1085</v>
      </c>
      <c r="E293" s="3" t="s">
        <v>1086</v>
      </c>
      <c r="F293" s="3" t="s">
        <v>1087</v>
      </c>
      <c r="G293" s="4" t="s">
        <v>1088</v>
      </c>
      <c r="H293" s="3" t="s">
        <v>778</v>
      </c>
      <c r="I293" s="2" t="s">
        <v>1089</v>
      </c>
      <c r="J293" s="2" t="s">
        <v>1090</v>
      </c>
      <c r="K293" s="5" t="s">
        <v>22</v>
      </c>
      <c r="L293" s="3" t="s">
        <v>1091</v>
      </c>
    </row>
    <row r="294" customFormat="false" ht="23.85" hidden="false" customHeight="false" outlineLevel="0" collapsed="false">
      <c r="A294" s="2" t="s">
        <v>773</v>
      </c>
      <c r="B294" s="2" t="s">
        <v>1084</v>
      </c>
      <c r="C294" s="2" t="s">
        <v>22</v>
      </c>
      <c r="D294" s="2" t="s">
        <v>1092</v>
      </c>
      <c r="E294" s="3" t="s">
        <v>1093</v>
      </c>
      <c r="F294" s="3" t="s">
        <v>1094</v>
      </c>
      <c r="G294" s="4" t="s">
        <v>1095</v>
      </c>
      <c r="H294" s="3" t="s">
        <v>778</v>
      </c>
      <c r="I294" s="2" t="s">
        <v>1089</v>
      </c>
      <c r="J294" s="2" t="s">
        <v>1090</v>
      </c>
      <c r="K294" s="5" t="s">
        <v>22</v>
      </c>
      <c r="L294" s="3" t="s">
        <v>1096</v>
      </c>
    </row>
    <row r="295" customFormat="false" ht="23.85" hidden="false" customHeight="false" outlineLevel="0" collapsed="false">
      <c r="A295" s="2" t="s">
        <v>773</v>
      </c>
      <c r="B295" s="2" t="s">
        <v>1084</v>
      </c>
      <c r="C295" s="2" t="s">
        <v>22</v>
      </c>
      <c r="D295" s="2" t="s">
        <v>1097</v>
      </c>
      <c r="E295" s="3" t="s">
        <v>131</v>
      </c>
      <c r="F295" s="3" t="s">
        <v>25</v>
      </c>
      <c r="G295" s="4" t="s">
        <v>1098</v>
      </c>
      <c r="H295" s="3" t="s">
        <v>778</v>
      </c>
      <c r="I295" s="2" t="s">
        <v>1089</v>
      </c>
      <c r="J295" s="2" t="s">
        <v>1090</v>
      </c>
      <c r="K295" s="5" t="s">
        <v>22</v>
      </c>
      <c r="L295" s="3" t="s">
        <v>788</v>
      </c>
    </row>
    <row r="296" customFormat="false" ht="23.85" hidden="false" customHeight="false" outlineLevel="0" collapsed="false">
      <c r="A296" s="2" t="s">
        <v>773</v>
      </c>
      <c r="B296" s="2" t="s">
        <v>1084</v>
      </c>
      <c r="C296" s="2" t="s">
        <v>22</v>
      </c>
      <c r="D296" s="2" t="s">
        <v>1099</v>
      </c>
      <c r="E296" s="3" t="s">
        <v>932</v>
      </c>
      <c r="F296" s="3" t="s">
        <v>933</v>
      </c>
      <c r="G296" s="4" t="s">
        <v>1100</v>
      </c>
      <c r="H296" s="3" t="s">
        <v>778</v>
      </c>
      <c r="I296" s="2" t="s">
        <v>1089</v>
      </c>
      <c r="J296" s="2" t="s">
        <v>1090</v>
      </c>
      <c r="K296" s="6" t="s">
        <v>30</v>
      </c>
      <c r="L296" s="3" t="s">
        <v>1101</v>
      </c>
    </row>
    <row r="297" customFormat="false" ht="23.85" hidden="false" customHeight="false" outlineLevel="0" collapsed="false">
      <c r="A297" s="2" t="s">
        <v>773</v>
      </c>
      <c r="B297" s="2" t="s">
        <v>1084</v>
      </c>
      <c r="C297" s="2" t="s">
        <v>22</v>
      </c>
      <c r="D297" s="2" t="s">
        <v>1102</v>
      </c>
      <c r="E297" s="3" t="s">
        <v>932</v>
      </c>
      <c r="F297" s="3" t="s">
        <v>933</v>
      </c>
      <c r="G297" s="4" t="s">
        <v>1103</v>
      </c>
      <c r="H297" s="3" t="s">
        <v>778</v>
      </c>
      <c r="I297" s="2" t="s">
        <v>1089</v>
      </c>
      <c r="J297" s="2" t="s">
        <v>1090</v>
      </c>
      <c r="K297" s="6" t="s">
        <v>30</v>
      </c>
      <c r="L297" s="3" t="s">
        <v>1101</v>
      </c>
    </row>
    <row r="298" customFormat="false" ht="35.05" hidden="false" customHeight="false" outlineLevel="0" collapsed="false">
      <c r="A298" s="2" t="s">
        <v>773</v>
      </c>
      <c r="B298" s="2" t="s">
        <v>1104</v>
      </c>
      <c r="C298" s="2" t="s">
        <v>22</v>
      </c>
      <c r="D298" s="2" t="s">
        <v>1105</v>
      </c>
      <c r="E298" s="3" t="s">
        <v>1106</v>
      </c>
      <c r="F298" s="3" t="s">
        <v>1107</v>
      </c>
      <c r="G298" s="4" t="s">
        <v>1108</v>
      </c>
      <c r="H298" s="3" t="s">
        <v>778</v>
      </c>
      <c r="I298" s="2" t="s">
        <v>1109</v>
      </c>
      <c r="J298" s="2" t="s">
        <v>1110</v>
      </c>
      <c r="K298" s="5" t="s">
        <v>22</v>
      </c>
      <c r="L298" s="3" t="s">
        <v>1111</v>
      </c>
    </row>
    <row r="299" customFormat="false" ht="23.85" hidden="false" customHeight="false" outlineLevel="0" collapsed="false">
      <c r="A299" s="2" t="s">
        <v>773</v>
      </c>
      <c r="B299" s="2" t="s">
        <v>1104</v>
      </c>
      <c r="C299" s="2" t="s">
        <v>22</v>
      </c>
      <c r="D299" s="2" t="s">
        <v>1112</v>
      </c>
      <c r="E299" s="3" t="s">
        <v>1113</v>
      </c>
      <c r="F299" s="3" t="s">
        <v>281</v>
      </c>
      <c r="G299" s="4" t="s">
        <v>1114</v>
      </c>
      <c r="H299" s="3" t="s">
        <v>778</v>
      </c>
      <c r="I299" s="2" t="s">
        <v>1109</v>
      </c>
      <c r="J299" s="2" t="s">
        <v>1110</v>
      </c>
      <c r="K299" s="5" t="s">
        <v>22</v>
      </c>
      <c r="L299" s="3" t="s">
        <v>1115</v>
      </c>
    </row>
    <row r="300" customFormat="false" ht="23.85" hidden="false" customHeight="false" outlineLevel="0" collapsed="false">
      <c r="A300" s="2" t="s">
        <v>773</v>
      </c>
      <c r="B300" s="2" t="s">
        <v>1104</v>
      </c>
      <c r="C300" s="2" t="s">
        <v>22</v>
      </c>
      <c r="D300" s="2" t="s">
        <v>1116</v>
      </c>
      <c r="E300" s="3" t="s">
        <v>131</v>
      </c>
      <c r="F300" s="3" t="s">
        <v>25</v>
      </c>
      <c r="G300" s="4" t="s">
        <v>1117</v>
      </c>
      <c r="H300" s="3" t="s">
        <v>778</v>
      </c>
      <c r="I300" s="2" t="s">
        <v>1109</v>
      </c>
      <c r="J300" s="2" t="s">
        <v>1110</v>
      </c>
      <c r="K300" s="5" t="s">
        <v>22</v>
      </c>
      <c r="L300" s="3" t="s">
        <v>788</v>
      </c>
    </row>
    <row r="301" customFormat="false" ht="23.85" hidden="false" customHeight="false" outlineLevel="0" collapsed="false">
      <c r="A301" s="2" t="s">
        <v>773</v>
      </c>
      <c r="B301" s="2" t="s">
        <v>1104</v>
      </c>
      <c r="C301" s="2" t="s">
        <v>22</v>
      </c>
      <c r="D301" s="2" t="s">
        <v>1118</v>
      </c>
      <c r="E301" s="3" t="s">
        <v>136</v>
      </c>
      <c r="F301" s="3" t="s">
        <v>25</v>
      </c>
      <c r="G301" s="4" t="s">
        <v>1119</v>
      </c>
      <c r="H301" s="3" t="s">
        <v>778</v>
      </c>
      <c r="I301" s="2" t="s">
        <v>1109</v>
      </c>
      <c r="J301" s="2" t="s">
        <v>1110</v>
      </c>
      <c r="K301" s="7" t="s">
        <v>37</v>
      </c>
      <c r="L301" s="3" t="s">
        <v>788</v>
      </c>
    </row>
    <row r="302" customFormat="false" ht="35.05" hidden="false" customHeight="false" outlineLevel="0" collapsed="false">
      <c r="A302" s="2" t="s">
        <v>773</v>
      </c>
      <c r="B302" s="2" t="s">
        <v>1120</v>
      </c>
      <c r="C302" s="2" t="s">
        <v>487</v>
      </c>
      <c r="D302" s="2" t="s">
        <v>1121</v>
      </c>
      <c r="E302" s="3" t="s">
        <v>131</v>
      </c>
      <c r="F302" s="3" t="s">
        <v>25</v>
      </c>
      <c r="G302" s="4" t="s">
        <v>1122</v>
      </c>
      <c r="H302" s="3" t="s">
        <v>778</v>
      </c>
      <c r="I302" s="2" t="s">
        <v>1123</v>
      </c>
      <c r="J302" s="2" t="s">
        <v>1124</v>
      </c>
      <c r="K302" s="5" t="s">
        <v>22</v>
      </c>
      <c r="L302" s="3" t="s">
        <v>1125</v>
      </c>
    </row>
    <row r="303" customFormat="false" ht="23.85" hidden="false" customHeight="false" outlineLevel="0" collapsed="false">
      <c r="A303" s="2" t="s">
        <v>773</v>
      </c>
      <c r="B303" s="2" t="s">
        <v>1120</v>
      </c>
      <c r="C303" s="2" t="s">
        <v>487</v>
      </c>
      <c r="D303" s="2" t="s">
        <v>1126</v>
      </c>
      <c r="E303" s="3" t="s">
        <v>136</v>
      </c>
      <c r="F303" s="3" t="s">
        <v>25</v>
      </c>
      <c r="G303" s="4" t="s">
        <v>1127</v>
      </c>
      <c r="H303" s="3" t="s">
        <v>778</v>
      </c>
      <c r="I303" s="2" t="s">
        <v>1123</v>
      </c>
      <c r="J303" s="2" t="s">
        <v>1124</v>
      </c>
      <c r="K303" s="7" t="s">
        <v>37</v>
      </c>
      <c r="L303" s="3" t="s">
        <v>788</v>
      </c>
    </row>
    <row r="304" customFormat="false" ht="23.85" hidden="false" customHeight="false" outlineLevel="0" collapsed="false">
      <c r="A304" s="2" t="s">
        <v>773</v>
      </c>
      <c r="B304" s="2" t="s">
        <v>1120</v>
      </c>
      <c r="C304" s="2" t="s">
        <v>487</v>
      </c>
      <c r="D304" s="2" t="s">
        <v>1128</v>
      </c>
      <c r="E304" s="3" t="s">
        <v>136</v>
      </c>
      <c r="F304" s="3" t="s">
        <v>25</v>
      </c>
      <c r="G304" s="4" t="s">
        <v>1129</v>
      </c>
      <c r="H304" s="3" t="s">
        <v>778</v>
      </c>
      <c r="I304" s="2" t="s">
        <v>1130</v>
      </c>
      <c r="J304" s="2" t="s">
        <v>1124</v>
      </c>
      <c r="K304" s="7" t="s">
        <v>37</v>
      </c>
      <c r="L304" s="3" t="s">
        <v>788</v>
      </c>
    </row>
  </sheetData>
  <autoFilter ref="A1:L304"/>
  <hyperlinks>
    <hyperlink ref="G2" r:id="rId1" display="segeeta.allenbland@clayton.k12.ga.us"/>
    <hyperlink ref="G3" r:id="rId2" display="adrian.courtland@clayton.k12.ga.us"/>
    <hyperlink ref="G4" r:id="rId3" display="lakesha.roberts@clayton.k12.ga.us"/>
    <hyperlink ref="G5" r:id="rId4" display="melody.powell@clayton.k12.ga.us"/>
    <hyperlink ref="G6" r:id="rId5" display="aaleyah.kelso@clayton.k12.ga.us"/>
    <hyperlink ref="G7" r:id="rId6" display="monique.lewis@clayton.k12.ga.us"/>
    <hyperlink ref="G8" r:id="rId7" display="letitia.lewis@clayton.k12.ga.us"/>
    <hyperlink ref="G9" r:id="rId8" display="charles.gilchrist@clayton.k12.ga.us"/>
    <hyperlink ref="G10" r:id="rId9" display="kantrell.gibson-brown@clayton.k12.ga.us"/>
    <hyperlink ref="G11" r:id="rId10" display="cadine.ferguson@clayton.k12.ga.us"/>
    <hyperlink ref="G12" r:id="rId11" display="lynna.springs@clayton.k12.ga.us"/>
    <hyperlink ref="G13" r:id="rId12" display="shannon.hoskinsprayl@clayton.k12.ga.us"/>
    <hyperlink ref="G14" r:id="rId13" display="micki.harris@clayton.k12.ga.us"/>
    <hyperlink ref="G15" r:id="rId14" display="sharlissa.pollard@clayton.k12.ga.us"/>
    <hyperlink ref="G16" r:id="rId15" display="adriel.thomas@clayton.k12.ga.us"/>
    <hyperlink ref="G17" r:id="rId16" display="thomas.stinson@clayton.k12.ga.us"/>
    <hyperlink ref="G18" r:id="rId17" display="ramona.potts@clayton.k12.ga.us"/>
    <hyperlink ref="G19" r:id="rId18" display="harold.dobbins@clayton.k12.ga.us"/>
    <hyperlink ref="G20" r:id="rId19" display="sara.vasquez@clayton.k12.ga.us"/>
    <hyperlink ref="G21" r:id="rId20" display="chasity.jackson@clayton.k12.ga.us"/>
    <hyperlink ref="G22" r:id="rId21" display="nakia.cole@clayton.k12.ga.us"/>
    <hyperlink ref="G23" r:id="rId22" display="taylor.milam@clayton.k12.ga.us"/>
    <hyperlink ref="G24" r:id="rId23" display="ashley.young@clayton.k12.ga.us"/>
    <hyperlink ref="G25" r:id="rId24" display="deborah.green@clayton.k12.ga.us"/>
    <hyperlink ref="G26" r:id="rId25" display="adeline.bazard@clayton.k12.ga.us"/>
    <hyperlink ref="G27" r:id="rId26" display="kim.nguyen@clayton.k12.ga.us"/>
    <hyperlink ref="G28" r:id="rId27" display="onequa.hampshire@clayton.k12.ga.us"/>
    <hyperlink ref="G29" r:id="rId28" display="kimberlee.barnett@clayton.k12.ga.us"/>
    <hyperlink ref="G30" r:id="rId29" display="wendy.thompson@clayton.k12.ga.us"/>
    <hyperlink ref="G31" r:id="rId30" display="michael.walraven@clayton.k12.ga.us"/>
    <hyperlink ref="G32" r:id="rId31" display="jessie.henry@clayton.k12.ga.us"/>
    <hyperlink ref="G33" r:id="rId32" display="caryn.turner@clayton.k12.ga.us"/>
    <hyperlink ref="G34" r:id="rId33" display="stacy.black@clayton.k12.ga.us"/>
    <hyperlink ref="G35" r:id="rId34" display="torressa.smith@clayton.k12.ga.us"/>
    <hyperlink ref="G36" r:id="rId35" display="gary.lomba@clayton.k12.ga.us"/>
    <hyperlink ref="G37" r:id="rId36" display="valencia.smith@clayton.k12.ga.us"/>
    <hyperlink ref="G38" r:id="rId37" display="christopher.robinson@clayton.k12.ga.us"/>
    <hyperlink ref="G39" r:id="rId38" display="deon.pennyman@clayton.k12.ga.us"/>
    <hyperlink ref="G40" r:id="rId39" display="david.johnson@clayton.k12.ga.us"/>
    <hyperlink ref="G41" r:id="rId40" display="nicole.reese@clayton.k12.ga.us"/>
    <hyperlink ref="G42" r:id="rId41" display="heather.peterson@clayton.k12.ga.us"/>
    <hyperlink ref="G43" r:id="rId42" display="lorraine.houlder@clayton.k12.ga.us"/>
    <hyperlink ref="G44" r:id="rId43" display="katharina.wade@clayton.k12.ga.us"/>
    <hyperlink ref="G45" r:id="rId44" display="karen.artis@clayton.k12.ga.us"/>
    <hyperlink ref="G46" r:id="rId45" display="carlos.cliett@clayton.k12.ga.us"/>
    <hyperlink ref="G47" r:id="rId46" display="brittney.blackwell@clayton.k12.ga.us"/>
    <hyperlink ref="G48" r:id="rId47" display="beverly.scott@clayton.k12.ga.us"/>
    <hyperlink ref="G49" r:id="rId48" display="nina.shannon@clayton.k12.ga.us"/>
    <hyperlink ref="G50" r:id="rId49" display="shakeria.chaney@clayton.k12.ga.us"/>
    <hyperlink ref="G51" r:id="rId50" display="crystal.husbands@clayton.k12.ga.us"/>
    <hyperlink ref="G52" r:id="rId51" display="imani.warden@clayton.k12.ga.us"/>
    <hyperlink ref="G53" r:id="rId52" display="tiyon.watson@clayton.k12.ga.us"/>
    <hyperlink ref="G54" r:id="rId53" display="malakia.wright@clayton.k12.ga.us"/>
    <hyperlink ref="G55" r:id="rId54" display="corey.stephens@clayton.k12.ga.us"/>
    <hyperlink ref="G56" r:id="rId55" display="jelani.narcisse@clayton.k12.ga.us"/>
    <hyperlink ref="G57" r:id="rId56" display="rose.powell@clayton.k12.ga.us"/>
    <hyperlink ref="G58" r:id="rId57" display="karen.artis@clayton.k12.ga.us"/>
    <hyperlink ref="G59" r:id="rId58" display="jarrett.proctor@clayton.k12.ga.us"/>
    <hyperlink ref="G60" r:id="rId59" display="anthony.barnes@clayton.k12.ga.us"/>
    <hyperlink ref="G61" r:id="rId60" display="breonca.ashley@clayton.k12.ga.us"/>
    <hyperlink ref="G62" r:id="rId61" display="eugene.bridges@clayton.k12.ga.us"/>
    <hyperlink ref="G63" r:id="rId62" display="tammy.weatherspoon@clayton.k12.ga.us"/>
    <hyperlink ref="G64" r:id="rId63" display="cedrick.coleman@clayton.k12.ga.us"/>
    <hyperlink ref="G65" r:id="rId64" display="michael.smithii@clayton.k12.ga.us"/>
    <hyperlink ref="G66" r:id="rId65" display="catrina.edwards@clayton.k12.ga.us"/>
    <hyperlink ref="G67" r:id="rId66" display="monique.lewis@clayton.k12.ga.us"/>
    <hyperlink ref="G68" r:id="rId67" display="jhamare.hartsfield@clayton.k12.ga.us"/>
    <hyperlink ref="G69" r:id="rId68" display="sonja.bennings@clayton.k12.ga.us"/>
    <hyperlink ref="G70" r:id="rId69" display="lawrence.yarbrough@clayton.k12.ga.us"/>
    <hyperlink ref="G71" r:id="rId70" display="henretta.reese@clayton.k12.ga.us"/>
    <hyperlink ref="G72" r:id="rId71" display="toujour.eugene@utopianacademy.com"/>
    <hyperlink ref="G73" r:id="rId72" display="travis.joshua@utopianacademy.com"/>
    <hyperlink ref="G74" r:id="rId73" display="artesius.miller@utopianacademy.com"/>
    <hyperlink ref="G75" r:id="rId74" display="christopher.starks@utopianacademy.com"/>
    <hyperlink ref="G76" r:id="rId75" display="damion.miller@utopianacademy.com"/>
    <hyperlink ref="G77" r:id="rId76" display="phillip.noble@clayton.k12.ga.us"/>
    <hyperlink ref="G78" r:id="rId77" display="tiffany.mays@clayton.k12.ga.us"/>
    <hyperlink ref="G79" r:id="rId78" display="tangela.benjamin@clayton.k12.ga.us"/>
    <hyperlink ref="G80" r:id="rId79" display="kenneth.chong@clayton.k12.ga.us"/>
    <hyperlink ref="G81" r:id="rId80" display="dennis.truitt@clayton.k12.ga.us"/>
    <hyperlink ref="G82" r:id="rId81" display="jimmie.fox@clayton.k12.ga.us"/>
    <hyperlink ref="G83" r:id="rId82" display="mia.walker@clayton.k12.ga.us"/>
    <hyperlink ref="G84" r:id="rId83" display="charles.stafford@clayton.k12.ga.us"/>
    <hyperlink ref="G85" r:id="rId84" display="kim.dancy@clayton.k12.ga.us"/>
    <hyperlink ref="G86" r:id="rId85" display="carline.richardson@clayton.k12.ga.us"/>
    <hyperlink ref="G87" r:id="rId86" display="john.cox@clayton.k12.ga.us"/>
    <hyperlink ref="G88" r:id="rId87" display="martina.morris-orr@clayton.k12.ga.us"/>
    <hyperlink ref="G89" r:id="rId88" display="william.dean@clayton.k12.ga.us"/>
    <hyperlink ref="G90" r:id="rId89" display="tenisha.bailey@clayton.k12.ga.us"/>
    <hyperlink ref="G91" r:id="rId90" display="katherine.williams-tanner@clayton.k12.ga.us"/>
    <hyperlink ref="G92" r:id="rId91" display="laticsha.elder@clayton.k12.ga.us"/>
    <hyperlink ref="G93" r:id="rId92" display="kelvin.griffin@clayton.k12.ga.us"/>
    <hyperlink ref="G94" r:id="rId93" display="dwayne.boddie@clayton.k12.ga.us"/>
    <hyperlink ref="G95" r:id="rId94" display="simone.wilson-hunt@clayton.k12.ga.us"/>
    <hyperlink ref="G96" r:id="rId95" display="cheryl.wilder@clayton.k12.ga.us"/>
    <hyperlink ref="G97" r:id="rId96" display="brenda.ross-wilson@clayton.k12.ga.us"/>
    <hyperlink ref="G98" r:id="rId97" display="tomeka.crum@clayton.k12.ga.us"/>
    <hyperlink ref="G99" r:id="rId98" display="britney.lee@clayton.k12.ga.us"/>
    <hyperlink ref="G100" r:id="rId99" display="tanya.kirk@clayton.k12.ga.us"/>
    <hyperlink ref="G101" r:id="rId100" display="rebecca.brown@clayton.k12.ga.us"/>
    <hyperlink ref="G102" r:id="rId101" display="noel.bosh@clayton.k12.ga.us"/>
    <hyperlink ref="G103" r:id="rId102" display="shanda.vasser@clayton.k12.ga.us"/>
    <hyperlink ref="G104" r:id="rId103" display="victor.martinezvargas@clayton.k12.ga.us"/>
    <hyperlink ref="G105" r:id="rId104" display="lawvigneaud.harrell@clayton.k12.ga.us"/>
    <hyperlink ref="G106" r:id="rId105" display="abeda.banu@clayton.k12.ga.us"/>
    <hyperlink ref="G107" r:id="rId106" display="lorraine.houlder@clayton.k12.ga.us"/>
    <hyperlink ref="G108" r:id="rId107" display="lisa.williams@clayton.k12.ga.us"/>
    <hyperlink ref="G109" r:id="rId108" display="kimberly.grant@clayton.k12.ga.us"/>
    <hyperlink ref="G110" r:id="rId109" display="anita.nair@clayton.k12.ga.us"/>
    <hyperlink ref="G111" r:id="rId110" display="madalyn.wallace@clayton.k12.ga.us"/>
    <hyperlink ref="G112" r:id="rId111" display="denise.lucas@clayton.k12.ga.us"/>
    <hyperlink ref="G113" r:id="rId112" display="sheadric.barbra@clayton.k12.ga.us"/>
    <hyperlink ref="G114" r:id="rId113" display="arthur.carter@clayton.k12.ga.us"/>
    <hyperlink ref="G115" r:id="rId114" display="dennis.williamson@clayton.k12.ga.us"/>
    <hyperlink ref="G116" r:id="rId115" display="ayesha.siddiqua@clayton.k12.ga.us"/>
    <hyperlink ref="G117" r:id="rId116" display="stefanie.barnes@clayton.k12.ga.us"/>
    <hyperlink ref="G118" r:id="rId117" display="glen.alexander@clayton.k12.ga.us"/>
    <hyperlink ref="G119" r:id="rId118" display="james.scarborough@clayton.k12.ga.us"/>
    <hyperlink ref="G120" r:id="rId119" display="cedrick.howard@clayton.k12.ga.us"/>
    <hyperlink ref="G121" r:id="rId120" display="alicia.freeman@clayton.k12.ga.us"/>
    <hyperlink ref="G122" r:id="rId121" display="stefanie.barnes@clayton.k12.ga.us"/>
    <hyperlink ref="G123" r:id="rId122" display="micah.johnson@clayton.k12.ga.us"/>
    <hyperlink ref="G124" r:id="rId123" display="pamela.harris@clayton.k12.ga.us"/>
    <hyperlink ref="G125" r:id="rId124" display="sharon.wilson@clayton.k12.ga.us"/>
    <hyperlink ref="G126" r:id="rId125" display="myeisha.wimbush@clayton.k12.ga.us"/>
    <hyperlink ref="G127" r:id="rId126" display="joi.bynum@clayton.k12.ga.us"/>
    <hyperlink ref="G128" r:id="rId127" display="cynthia.freeman-smalls@clayton.k12.ga.us"/>
    <hyperlink ref="G129" r:id="rId128" display="kelly.salley@clayton.k12.ga.us"/>
    <hyperlink ref="G130" r:id="rId129" display="kasondra.todd@clayton.k12.ga.us"/>
    <hyperlink ref="G131" r:id="rId130" display="devon.bivins@clayton.k12.ga.us"/>
    <hyperlink ref="G132" r:id="rId131" display="michael.rosemond@utopianacademy.com"/>
    <hyperlink ref="G134" r:id="rId132" display="retse.johnson-daniels@utopianacademy.com"/>
    <hyperlink ref="G135" r:id="rId133" display="keana.miller@utopianacademy.com"/>
    <hyperlink ref="G136" r:id="rId134" display="talithia.davis@utopianacademy.com"/>
    <hyperlink ref="G137" r:id="rId135" display="paul.johnson@utopianacademy.com"/>
    <hyperlink ref="G138" r:id="rId136" display="lee.wright@clayton.k12.ga.us"/>
    <hyperlink ref="G139" r:id="rId137" display="samuel.west@clayton.k12.ga.us"/>
    <hyperlink ref="G140" r:id="rId138" display="brandi.mather@clayton.k12.ga.us"/>
    <hyperlink ref="G141" r:id="rId139" display="phillip.ramsey@clayton.k12.ga.us"/>
    <hyperlink ref="G142" r:id="rId140" display="tanya.kirk@clayton.k12.ga.us"/>
    <hyperlink ref="G143" r:id="rId141" display="maria.kepler@tapestrycharter.org"/>
    <hyperlink ref="G145" r:id="rId142" display="derrick.gilchrist@clayton.k12.ga.us"/>
    <hyperlink ref="G146" r:id="rId143" display="eric.norris@cherokeek12.net"/>
    <hyperlink ref="G147" r:id="rId144" display="anne.benton@cherokeek12.net"/>
    <hyperlink ref="G148" r:id="rId145" display="phil.dodge@cherokeek12.net"/>
    <hyperlink ref="G149" r:id="rId146" display="josh.martin@cherokeek12.net"/>
    <hyperlink ref="G150" r:id="rId147" display="carmen.power@cherokeek12.net"/>
    <hyperlink ref="G151" r:id="rId148" display="teresa.hutto@cherokeek12.net"/>
    <hyperlink ref="G152" r:id="rId149" display="jennifer.campbell@cherokeek12.net"/>
    <hyperlink ref="G153" r:id="rId150" display="jacob.pendergraft@cherokeek12.net"/>
    <hyperlink ref="G154" r:id="rId151" display="dawn.weinbaum@cherokeek12.net"/>
    <hyperlink ref="G155" r:id="rId152" display="alison.alderfer@cherokeek12.net"/>
    <hyperlink ref="G156" r:id="rId153" display="todd.sharrock@cherokeek12.net"/>
    <hyperlink ref="G157" r:id="rId154" display="judy.wright@cherokeek12.net"/>
    <hyperlink ref="G158" r:id="rId155" display="beth.coryell@cherokeek12.net"/>
    <hyperlink ref="G159" r:id="rId156" display="carlie.young@cherokeek12.net"/>
    <hyperlink ref="G160" r:id="rId157" display="stephanie.rutherford@cherokeek12.net"/>
    <hyperlink ref="G161" r:id="rId158" display="edwin.rodriguez@cherokeek12.net"/>
    <hyperlink ref="G162" r:id="rId159" display="chad.flatt@cherokeek12.net"/>
    <hyperlink ref="G163" r:id="rId160" display="christy.l.bennett@cherokeek12.net"/>
    <hyperlink ref="G164" r:id="rId161" display="heather.mitchell@cherokeek12.net"/>
    <hyperlink ref="G165" r:id="rId162" display="samantha.daugherty@cherokeek12.net"/>
    <hyperlink ref="G166" r:id="rId163" display="mark.markley@cherokeek12.net"/>
    <hyperlink ref="G167" r:id="rId164" display="ryan.brumbelow@cherokeek12.net"/>
    <hyperlink ref="G168" r:id="rId165" display="jason.meade@cherokeek12.net"/>
    <hyperlink ref="G169" r:id="rId166" display="lynn.cooper@cherokeek12.net"/>
    <hyperlink ref="G170" r:id="rId167" display="kathie.monti@cherokeek12.net"/>
    <hyperlink ref="G171" r:id="rId168" display="kari.barbour@cherokeek12.net"/>
    <hyperlink ref="G172" r:id="rId169" display="lesia.griffin@cherokeek12.net"/>
    <hyperlink ref="G173" r:id="rId170" display="nicolette.abbott@cherokeek12.net"/>
    <hyperlink ref="G174" r:id="rId171" display="genevieve.mcgarry@cherokeek12.net"/>
    <hyperlink ref="G175" r:id="rId172" display="joi.marques@cherokeek12.net"/>
    <hyperlink ref="G176" r:id="rId173" display="susan.stringfellow@cherokeek12.net"/>
    <hyperlink ref="G177" r:id="rId174" display="elizabeth.spell@cherokeek12.net"/>
    <hyperlink ref="G178" r:id="rId175" display="connor.covington@cherokeek12.net"/>
    <hyperlink ref="G179" r:id="rId176" display="andrew.hall@cherokeek12.net"/>
    <hyperlink ref="G180" r:id="rId177" display="connie.ard@cherokeek12.net"/>
    <hyperlink ref="G181" r:id="rId178" display="beth.watkins@cherokeek12.net"/>
    <hyperlink ref="G182" r:id="rId179" display="christian.kirby@cherokeek12.net"/>
    <hyperlink ref="G184" r:id="rId180" display="terri.hancock@cherokeek12.net"/>
    <hyperlink ref="G185" r:id="rId181" display="mark.vance@cherokeek12.net"/>
    <hyperlink ref="G186" r:id="rId182" display="lisa.funderburk@cherokeek12.net"/>
    <hyperlink ref="G187" r:id="rId183" display="nicholas.singleton@cherokeek12.net"/>
    <hyperlink ref="G188" r:id="rId184" display="jeremy.andrews@cherokeek12.net"/>
    <hyperlink ref="G189" r:id="rId185" display="lindsay.dean@cherokeek12.net"/>
    <hyperlink ref="G190" r:id="rId186" display="ken.nix@cherokeek12.net"/>
    <hyperlink ref="G191" r:id="rId187" display="john.murnan@cherokeek12.net"/>
    <hyperlink ref="G192" r:id="rId188" display="brett.pinckard@cherokeek12.net"/>
    <hyperlink ref="G193" r:id="rId189" display="janet.baggett@cherokeek12.net"/>
    <hyperlink ref="G194" r:id="rId190" display="judi.haggerty@cherokeek12.net"/>
    <hyperlink ref="G195" r:id="rId191" display="beckie.lee@cherokeek12.net"/>
    <hyperlink ref="G196" r:id="rId192" display="justin.sanderson@cherokeek12.net"/>
    <hyperlink ref="G197" r:id="rId193" display="stephanie.barber@cherokeek12.net"/>
    <hyperlink ref="G198" r:id="rId194" display="pamela.costa@cherokeek12.net"/>
    <hyperlink ref="G199" r:id="rId195" display="brandon.grummer@cherokeek12.net"/>
    <hyperlink ref="G200" r:id="rId196" display="brenda.beebe@cherokeek12.net"/>
    <hyperlink ref="G201" r:id="rId197" display="amanda.fuder@cherokeek12.net"/>
    <hyperlink ref="G202" r:id="rId198" display="robert.vanalstyne@cherokeek12.net"/>
    <hyperlink ref="G203" r:id="rId199" display="laura.kudlak@cherokeek12.net"/>
    <hyperlink ref="G204" r:id="rId200" display="mark.drew@cherokeek12.net"/>
    <hyperlink ref="G205" r:id="rId201" display="samuel.hunter@cherokeek12.net"/>
    <hyperlink ref="G206" r:id="rId202" display="tim.pangonas@cherokeek12.net"/>
    <hyperlink ref="G207" r:id="rId203" display="charley.ingham@cherokeek12.net"/>
    <hyperlink ref="G208" r:id="rId204" display="brent.harris@cherokeek12.net"/>
    <hyperlink ref="G209" r:id="rId205" display="adam.johnson@cherokeek12.net"/>
    <hyperlink ref="G210" r:id="rId206" display="jenni.box@cherokeek12.net"/>
    <hyperlink ref="G211" r:id="rId207" display="adam.johnson@cherokeek12.net"/>
    <hyperlink ref="G212" r:id="rId208" display="jenni.box@cherokeek12.net"/>
    <hyperlink ref="G213" r:id="rId209" display="f23748@forsyth.k12.ga.us"/>
    <hyperlink ref="G214" r:id="rId210" display="rymendes@forsyth.k12.ga.us"/>
    <hyperlink ref="G215" r:id="rId211" display="ksargent@forsyth.k12.ga.us"/>
    <hyperlink ref="G216" r:id="rId212" display="mwest@forsyth.k12.ga.us"/>
    <hyperlink ref="G217" r:id="rId213" display="dgrass@forsyth.k12.ga.us"/>
    <hyperlink ref="G218" r:id="rId214" display="f43912@forsyth.k12.ga.us"/>
    <hyperlink ref="G219" r:id="rId215" display="bjones@forsyth.k12.ga.us"/>
    <hyperlink ref="G220" r:id="rId216" display="abusby@forsyth.k12.ga.us"/>
    <hyperlink ref="G221" r:id="rId217" display="kjames@forsyth.k12.ga.us"/>
    <hyperlink ref="G222" r:id="rId218" display="awhitfill@forsyth.k12.ga.us"/>
    <hyperlink ref="G223" r:id="rId219" display="jdarcangelo@forsyth.k12.ga.us"/>
    <hyperlink ref="G224" r:id="rId220" display="rhewitt@forsyth.k12.ga.us"/>
    <hyperlink ref="G225" r:id="rId221" display="jchunn@forsyth.k12.ga.us"/>
    <hyperlink ref="G226" r:id="rId222" display="mlesinski@forsyth.k12.ga.us"/>
    <hyperlink ref="G227" r:id="rId223" display="tbrooks48@forsyth.k12.ga.us"/>
    <hyperlink ref="G228" r:id="rId224" display="f18420@forsyth.k12.ga.us"/>
    <hyperlink ref="G229" r:id="rId225" display="dhudson@forsyth.k12.ga.us"/>
    <hyperlink ref="G230" r:id="rId226" display="aparker@forsyth.k12.ga.us"/>
    <hyperlink ref="G231" r:id="rId227" display="f45351@forsyth.k12.ga.us"/>
    <hyperlink ref="G232" r:id="rId228" display="f41376@forsyth.k12.ga.us"/>
    <hyperlink ref="G233" r:id="rId229" display="f32322@forsyth.k12.ga.us"/>
    <hyperlink ref="G234" r:id="rId230" display="f44770@forsyth.k12.ga.us"/>
    <hyperlink ref="G235" r:id="rId231" display="f47276@forsyth.k12.ga.us"/>
    <hyperlink ref="G236" r:id="rId232" display="ksapp77@forsyth.k12.ga.us"/>
    <hyperlink ref="G237" r:id="rId233" display="mwoodley@forsyth.k12.ga.us"/>
    <hyperlink ref="G238" r:id="rId234" display="egaines@forsyth.k12.ga.us"/>
    <hyperlink ref="G239" r:id="rId235" display="mgarner@forsyth.k12.ga.us"/>
    <hyperlink ref="G240" r:id="rId236" display="tcollins@forsyth.k12.ga.us"/>
    <hyperlink ref="G241" r:id="rId237" display="declark@forsyth.k12.ga.us"/>
    <hyperlink ref="G242" r:id="rId238" display="psaintjean@forsyth.k12.ga.us"/>
    <hyperlink ref="G243" r:id="rId239" display="whowell5@forsyth.k12.ga.us"/>
    <hyperlink ref="G244" r:id="rId240" display="csmith@forsyth.k12.ga.us"/>
    <hyperlink ref="G245" r:id="rId241" display="jharden64@forsyth.k12.ga.us"/>
    <hyperlink ref="G246" r:id="rId242" display="rhenson@forsyth.k12.ga.us"/>
    <hyperlink ref="G247" r:id="rId243" display="lwaddell@forsyth.k12.ga.us"/>
    <hyperlink ref="G248" r:id="rId244" display="cbrady@forsyth.k12.ga.us"/>
    <hyperlink ref="G249" r:id="rId245" display="jgrasso@forsyth.k12.ga.us"/>
    <hyperlink ref="G250" r:id="rId246" display="sruckert@forsyth.k12.ga.us"/>
    <hyperlink ref="G251" r:id="rId247" display="tfarley@forsyth.k12.ga.us"/>
    <hyperlink ref="G252" r:id="rId248" display="kiwhite@forsyth.k12.ga.us"/>
    <hyperlink ref="G253" r:id="rId249" display="ahicks@forsyth.k12.ga.us"/>
    <hyperlink ref="G254" r:id="rId250" display="cwoods@forsyth.k12.ga.us"/>
    <hyperlink ref="G255" r:id="rId251" display="ltuck@forsyth.k12.ga.us"/>
    <hyperlink ref="G256" r:id="rId252" display="mmarshall@forsyth.k12.ga.us"/>
    <hyperlink ref="G257" r:id="rId253" display="cgodfree@forsyth.k12.ga.us"/>
    <hyperlink ref="G258" r:id="rId254" display="dreid@forsyth.k12.ga.us"/>
    <hyperlink ref="G259" r:id="rId255" display="aandrews3@forsyth.k12.ga.us"/>
    <hyperlink ref="G260" r:id="rId256" display="tminiscalco@forsyth.k12.ga.us"/>
    <hyperlink ref="G261" r:id="rId257" display="pdoyle@forsyth.k12.ga.us"/>
    <hyperlink ref="G262" r:id="rId258" display="kedwards@forsyth.k12.ga.us"/>
    <hyperlink ref="G263" r:id="rId259" display="cmallory@forsyth.k12.ga.us"/>
    <hyperlink ref="G264" r:id="rId260" display="f41518@forsyth.k12.ga.us"/>
    <hyperlink ref="G265" r:id="rId261" display="f39844@forsyth.k12.ga.us"/>
    <hyperlink ref="G266" r:id="rId262" display="kmercer@forsyth.k12.ga.us"/>
    <hyperlink ref="G267" r:id="rId263" display="jlillie@forsyth.k12.ga.us"/>
    <hyperlink ref="G268" r:id="rId264" display="tojones@forsyth.k12.ga.us"/>
    <hyperlink ref="G269" r:id="rId265" display="earnold78@forsyth.k12.ga.us"/>
    <hyperlink ref="G270" r:id="rId266" display="pmathauer@forsyth.k12.ga.us"/>
    <hyperlink ref="G271" r:id="rId267" display="koliver@forsyth.k12.ga.us"/>
    <hyperlink ref="G272" r:id="rId268" display="scochran@forsyth.k12.ga.us"/>
    <hyperlink ref="G273" r:id="rId269" display="pcoffield@forsyth.k12.ga.us"/>
    <hyperlink ref="G274" r:id="rId270" display="cmathis@forsyth.k12.ga.us"/>
    <hyperlink ref="G275" r:id="rId271" display="mlebeau77@forsyth.k12.ga.us"/>
    <hyperlink ref="G276" r:id="rId272" display="kmartin@forsyth.k12.ga.us"/>
    <hyperlink ref="G277" r:id="rId273" display="jdavies@forsyth.k12.ga.us"/>
    <hyperlink ref="G278" r:id="rId274" display="dajohn@forsyth.k12.ga.us"/>
    <hyperlink ref="G279" r:id="rId275" display="mhatfield@forsyth.k12.ga.us"/>
    <hyperlink ref="G280" r:id="rId276" display="f46863@forsyth.k12.ga.us"/>
    <hyperlink ref="G281" r:id="rId277" display="twinkler@forsyth.k12.ga.us"/>
    <hyperlink ref="G282" r:id="rId278" display="apcarvell@forsyth.k12.ga.us"/>
    <hyperlink ref="G283" r:id="rId279" display="f41395@forsyth.k12.ga.us"/>
    <hyperlink ref="G284" r:id="rId280" display="f47253@forsyth.k12.ga.us"/>
    <hyperlink ref="G285" r:id="rId281" display="jmsullivan@forsyth.k12.ga.us"/>
    <hyperlink ref="G286" r:id="rId282" display="athrower@forsyth.k12.ga.us"/>
    <hyperlink ref="G287" r:id="rId283" display="rhowell@forsyth.k12.ga.us"/>
    <hyperlink ref="G288" r:id="rId284" display="mrsmith@forsyth.k12.ga.us"/>
    <hyperlink ref="G289" r:id="rId285" display="jtomes@forsyth.k12.ga.us"/>
    <hyperlink ref="G290" r:id="rId286" display="jcrummel@forsyth.k12.ga.us"/>
    <hyperlink ref="G291" r:id="rId287" display="cmacallaster@forsyth.k12.ga.us"/>
    <hyperlink ref="G292" r:id="rId288" display="ahurt@forsyth.k12.ga.us"/>
    <hyperlink ref="G293" r:id="rId289" display="f30935@forsyth.k12.ga.us"/>
    <hyperlink ref="G294" r:id="rId290" display="f38293@forsyth.k12.ga.us"/>
    <hyperlink ref="G295" r:id="rId291" display="pbibik@forsyth.k12.ga.us"/>
    <hyperlink ref="G296" r:id="rId292" display="kurbanovitch@forsyth.k12.ga.us"/>
    <hyperlink ref="G297" r:id="rId293" display="f39354@forsyth.k12.ga.us"/>
    <hyperlink ref="G298" r:id="rId294" display="jneuhaus@forsyth.k12.ga.us"/>
    <hyperlink ref="G299" r:id="rId295" display="bfink@forsyth.k12.ga.us"/>
    <hyperlink ref="G300" r:id="rId296" display="aarchambeau@forsyth.k12.ga.us"/>
    <hyperlink ref="G301" r:id="rId297" display="mrparker@forsyth.k12.ga.us"/>
    <hyperlink ref="G302" r:id="rId298" display="dhayes@forsyth.k12.ga.us"/>
    <hyperlink ref="G303" r:id="rId299" display="asteele@forsyth.k12.ga.us"/>
    <hyperlink ref="G304" r:id="rId300" display="gfreund@forsyth.k12.ga.u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30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6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40"/>
    <col collapsed="false" customWidth="true" hidden="false" outlineLevel="0" max="3" min="3" style="0" width="12"/>
    <col collapsed="false" customWidth="true" hidden="false" outlineLevel="0" max="4" min="4" style="0" width="24"/>
    <col collapsed="false" customWidth="true" hidden="false" outlineLevel="0" max="5" min="5" style="0" width="40"/>
    <col collapsed="false" customWidth="true" hidden="false" outlineLevel="0" max="6" min="6" style="0" width="60"/>
    <col collapsed="false" customWidth="true" hidden="false" outlineLevel="0" max="7" min="7" style="0" width="14"/>
    <col collapsed="false" customWidth="true" hidden="false" outlineLevel="0" max="8" min="8" style="0" width="30"/>
    <col collapsed="false" customWidth="true" hidden="false" outlineLevel="0" max="9" min="9" style="0" width="80"/>
  </cols>
  <sheetData>
    <row r="1" customFormat="false" ht="31.5" hidden="false" customHeight="true" outlineLevel="0" collapsed="false">
      <c r="A1" s="1" t="s">
        <v>0</v>
      </c>
      <c r="B1" s="1" t="s">
        <v>1</v>
      </c>
      <c r="C1" s="1" t="s">
        <v>1131</v>
      </c>
      <c r="D1" s="1" t="s">
        <v>1132</v>
      </c>
      <c r="E1" s="1" t="s">
        <v>1133</v>
      </c>
      <c r="F1" s="1" t="s">
        <v>1134</v>
      </c>
      <c r="G1" s="1" t="s">
        <v>1135</v>
      </c>
      <c r="H1" s="1" t="s">
        <v>1136</v>
      </c>
      <c r="I1" s="1" t="s">
        <v>11</v>
      </c>
    </row>
    <row r="2" customFormat="false" ht="23.85" hidden="false" customHeight="false" outlineLevel="0" collapsed="false">
      <c r="A2" s="2" t="s">
        <v>12</v>
      </c>
      <c r="B2" s="2" t="s">
        <v>13</v>
      </c>
      <c r="C2" s="2" t="s">
        <v>14</v>
      </c>
      <c r="D2" s="2" t="s">
        <v>1137</v>
      </c>
      <c r="E2" s="2" t="s">
        <v>21</v>
      </c>
      <c r="F2" s="3" t="s">
        <v>1138</v>
      </c>
      <c r="G2" s="2" t="n">
        <f aca="false">COUNTIFS('School Contacts'!$B$2:$B$304,B2,'School Contacts'!$H$2:$H$304,"Verified*")</f>
        <v>5</v>
      </c>
      <c r="H2" s="2" t="str">
        <f aca="false">IF(G2&gt;=3,"Complete - 3+ verified contacts",IF(G2&gt;0,"Partial - limited public contact info","No verified contacts found"))</f>
        <v>Complete - 3+ verified contacts</v>
      </c>
      <c r="I2" s="3" t="s">
        <v>1139</v>
      </c>
    </row>
    <row r="3" customFormat="false" ht="23.85" hidden="false" customHeight="false" outlineLevel="0" collapsed="false">
      <c r="A3" s="2" t="s">
        <v>12</v>
      </c>
      <c r="B3" s="2" t="s">
        <v>38</v>
      </c>
      <c r="C3" s="2" t="s">
        <v>14</v>
      </c>
      <c r="D3" s="2" t="s">
        <v>1137</v>
      </c>
      <c r="E3" s="2" t="s">
        <v>42</v>
      </c>
      <c r="F3" s="3" t="s">
        <v>1138</v>
      </c>
      <c r="G3" s="2" t="n">
        <f aca="false">COUNTIFS('School Contacts'!$B$2:$B$304,B3,'School Contacts'!$H$2:$H$304,"Verified*")</f>
        <v>5</v>
      </c>
      <c r="H3" s="2" t="str">
        <f aca="false">IF(G3&gt;=3,"Complete - 3+ verified contacts",IF(G3&gt;0,"Partial - limited public contact info","No verified contacts found"))</f>
        <v>Complete - 3+ verified contacts</v>
      </c>
      <c r="I3" s="3" t="s">
        <v>1140</v>
      </c>
    </row>
    <row r="4" customFormat="false" ht="15" hidden="false" customHeight="false" outlineLevel="0" collapsed="false">
      <c r="A4" s="2" t="s">
        <v>12</v>
      </c>
      <c r="B4" s="2" t="s">
        <v>54</v>
      </c>
      <c r="C4" s="2" t="s">
        <v>14</v>
      </c>
      <c r="D4" s="2" t="s">
        <v>1137</v>
      </c>
      <c r="E4" s="2" t="s">
        <v>58</v>
      </c>
      <c r="F4" s="3" t="s">
        <v>1138</v>
      </c>
      <c r="G4" s="2" t="n">
        <f aca="false">COUNTIFS('School Contacts'!$B$2:$B$304,B4,'School Contacts'!$H$2:$H$304,"Verified*")</f>
        <v>5</v>
      </c>
      <c r="H4" s="2" t="str">
        <f aca="false">IF(G4&gt;=3,"Complete - 3+ verified contacts",IF(G4&gt;0,"Partial - limited public contact info","No verified contacts found"))</f>
        <v>Complete - 3+ verified contacts</v>
      </c>
      <c r="I4" s="3"/>
    </row>
    <row r="5" customFormat="false" ht="15" hidden="false" customHeight="false" outlineLevel="0" collapsed="false">
      <c r="A5" s="2" t="s">
        <v>12</v>
      </c>
      <c r="B5" s="2" t="s">
        <v>70</v>
      </c>
      <c r="C5" s="2" t="s">
        <v>14</v>
      </c>
      <c r="D5" s="2" t="s">
        <v>1137</v>
      </c>
      <c r="E5" s="2" t="s">
        <v>76</v>
      </c>
      <c r="F5" s="3" t="s">
        <v>1138</v>
      </c>
      <c r="G5" s="2" t="n">
        <f aca="false">COUNTIFS('School Contacts'!$B$2:$B$304,B5,'School Contacts'!$H$2:$H$304,"Verified*")</f>
        <v>5</v>
      </c>
      <c r="H5" s="2" t="str">
        <f aca="false">IF(G5&gt;=3,"Complete - 3+ verified contacts",IF(G5&gt;0,"Partial - limited public contact info","No verified contacts found"))</f>
        <v>Complete - 3+ verified contacts</v>
      </c>
      <c r="I5" s="3"/>
    </row>
    <row r="6" customFormat="false" ht="15" hidden="false" customHeight="false" outlineLevel="0" collapsed="false">
      <c r="A6" s="2" t="s">
        <v>12</v>
      </c>
      <c r="B6" s="2" t="s">
        <v>87</v>
      </c>
      <c r="C6" s="2" t="s">
        <v>14</v>
      </c>
      <c r="D6" s="2" t="s">
        <v>1137</v>
      </c>
      <c r="E6" s="2" t="s">
        <v>94</v>
      </c>
      <c r="F6" s="3" t="s">
        <v>1138</v>
      </c>
      <c r="G6" s="2" t="n">
        <f aca="false">COUNTIFS('School Contacts'!$B$2:$B$304,B6,'School Contacts'!$H$2:$H$304,"Verified*")</f>
        <v>5</v>
      </c>
      <c r="H6" s="2" t="str">
        <f aca="false">IF(G6&gt;=3,"Complete - 3+ verified contacts",IF(G6&gt;0,"Partial - limited public contact info","No verified contacts found"))</f>
        <v>Complete - 3+ verified contacts</v>
      </c>
      <c r="I6" s="3" t="s">
        <v>1141</v>
      </c>
    </row>
    <row r="7" customFormat="false" ht="15" hidden="false" customHeight="false" outlineLevel="0" collapsed="false">
      <c r="A7" s="2" t="s">
        <v>12</v>
      </c>
      <c r="B7" s="2" t="s">
        <v>109</v>
      </c>
      <c r="C7" s="2" t="s">
        <v>14</v>
      </c>
      <c r="D7" s="2" t="s">
        <v>1137</v>
      </c>
      <c r="E7" s="2" t="s">
        <v>113</v>
      </c>
      <c r="F7" s="3" t="s">
        <v>1138</v>
      </c>
      <c r="G7" s="2" t="n">
        <f aca="false">COUNTIFS('School Contacts'!$B$2:$B$304,B7,'School Contacts'!$H$2:$H$304,"Verified*")</f>
        <v>5</v>
      </c>
      <c r="H7" s="2" t="str">
        <f aca="false">IF(G7&gt;=3,"Complete - 3+ verified contacts",IF(G7&gt;0,"Partial - limited public contact info","No verified contacts found"))</f>
        <v>Complete - 3+ verified contacts</v>
      </c>
      <c r="I7" s="3"/>
    </row>
    <row r="8" customFormat="false" ht="15" hidden="false" customHeight="false" outlineLevel="0" collapsed="false">
      <c r="A8" s="2" t="s">
        <v>12</v>
      </c>
      <c r="B8" s="2" t="s">
        <v>123</v>
      </c>
      <c r="C8" s="2" t="s">
        <v>14</v>
      </c>
      <c r="D8" s="2" t="s">
        <v>1137</v>
      </c>
      <c r="E8" s="2" t="s">
        <v>129</v>
      </c>
      <c r="F8" s="3" t="s">
        <v>1138</v>
      </c>
      <c r="G8" s="2" t="n">
        <f aca="false">COUNTIFS('School Contacts'!$B$2:$B$304,B8,'School Contacts'!$H$2:$H$304,"Verified*")</f>
        <v>5</v>
      </c>
      <c r="H8" s="2" t="str">
        <f aca="false">IF(G8&gt;=3,"Complete - 3+ verified contacts",IF(G8&gt;0,"Partial - limited public contact info","No verified contacts found"))</f>
        <v>Complete - 3+ verified contacts</v>
      </c>
      <c r="I8" s="3" t="s">
        <v>1142</v>
      </c>
    </row>
    <row r="9" customFormat="false" ht="15" hidden="false" customHeight="false" outlineLevel="0" collapsed="false">
      <c r="A9" s="2" t="s">
        <v>12</v>
      </c>
      <c r="B9" s="2" t="s">
        <v>146</v>
      </c>
      <c r="C9" s="2" t="s">
        <v>14</v>
      </c>
      <c r="D9" s="2" t="s">
        <v>1137</v>
      </c>
      <c r="E9" s="2" t="s">
        <v>150</v>
      </c>
      <c r="F9" s="3" t="s">
        <v>1138</v>
      </c>
      <c r="G9" s="2" t="n">
        <f aca="false">COUNTIFS('School Contacts'!$B$2:$B$304,B9,'School Contacts'!$H$2:$H$304,"Verified*")</f>
        <v>5</v>
      </c>
      <c r="H9" s="2" t="str">
        <f aca="false">IF(G9&gt;=3,"Complete - 3+ verified contacts",IF(G9&gt;0,"Partial - limited public contact info","No verified contacts found"))</f>
        <v>Complete - 3+ verified contacts</v>
      </c>
      <c r="I9" s="3"/>
    </row>
    <row r="10" customFormat="false" ht="15" hidden="false" customHeight="false" outlineLevel="0" collapsed="false">
      <c r="A10" s="2" t="s">
        <v>12</v>
      </c>
      <c r="B10" s="2" t="s">
        <v>159</v>
      </c>
      <c r="C10" s="2" t="s">
        <v>14</v>
      </c>
      <c r="D10" s="2" t="s">
        <v>1137</v>
      </c>
      <c r="E10" s="2" t="s">
        <v>165</v>
      </c>
      <c r="F10" s="3" t="s">
        <v>1138</v>
      </c>
      <c r="G10" s="2" t="n">
        <f aca="false">COUNTIFS('School Contacts'!$B$2:$B$304,B10,'School Contacts'!$H$2:$H$304,"Verified*")</f>
        <v>5</v>
      </c>
      <c r="H10" s="2" t="str">
        <f aca="false">IF(G10&gt;=3,"Complete - 3+ verified contacts",IF(G10&gt;0,"Partial - limited public contact info","No verified contacts found"))</f>
        <v>Complete - 3+ verified contacts</v>
      </c>
      <c r="I10" s="3" t="s">
        <v>1143</v>
      </c>
    </row>
    <row r="11" customFormat="false" ht="15" hidden="false" customHeight="false" outlineLevel="0" collapsed="false">
      <c r="A11" s="2" t="s">
        <v>12</v>
      </c>
      <c r="B11" s="2" t="s">
        <v>185</v>
      </c>
      <c r="C11" s="2" t="s">
        <v>14</v>
      </c>
      <c r="D11" s="2" t="s">
        <v>1137</v>
      </c>
      <c r="E11" s="2" t="s">
        <v>191</v>
      </c>
      <c r="F11" s="3" t="s">
        <v>1138</v>
      </c>
      <c r="G11" s="2" t="n">
        <f aca="false">COUNTIFS('School Contacts'!$B$2:$B$304,B11,'School Contacts'!$H$2:$H$304,"Verified*")</f>
        <v>5</v>
      </c>
      <c r="H11" s="2" t="str">
        <f aca="false">IF(G11&gt;=3,"Complete - 3+ verified contacts",IF(G11&gt;0,"Partial - limited public contact info","No verified contacts found"))</f>
        <v>Complete - 3+ verified contacts</v>
      </c>
      <c r="I11" s="3" t="s">
        <v>1144</v>
      </c>
    </row>
    <row r="12" customFormat="false" ht="15" hidden="false" customHeight="false" outlineLevel="0" collapsed="false">
      <c r="A12" s="2" t="s">
        <v>12</v>
      </c>
      <c r="B12" s="2" t="s">
        <v>201</v>
      </c>
      <c r="C12" s="2" t="s">
        <v>14</v>
      </c>
      <c r="D12" s="2" t="s">
        <v>1137</v>
      </c>
      <c r="E12" s="2" t="s">
        <v>205</v>
      </c>
      <c r="F12" s="3" t="s">
        <v>1138</v>
      </c>
      <c r="G12" s="2" t="n">
        <f aca="false">COUNTIFS('School Contacts'!$B$2:$B$304,B12,'School Contacts'!$H$2:$H$304,"Verified*")</f>
        <v>5</v>
      </c>
      <c r="H12" s="2" t="str">
        <f aca="false">IF(G12&gt;=3,"Complete - 3+ verified contacts",IF(G12&gt;0,"Partial - limited public contact info","No verified contacts found"))</f>
        <v>Complete - 3+ verified contacts</v>
      </c>
      <c r="I12" s="3"/>
    </row>
    <row r="13" customFormat="false" ht="15" hidden="false" customHeight="false" outlineLevel="0" collapsed="false">
      <c r="A13" s="2" t="s">
        <v>12</v>
      </c>
      <c r="B13" s="2" t="s">
        <v>214</v>
      </c>
      <c r="C13" s="2" t="s">
        <v>14</v>
      </c>
      <c r="D13" s="2" t="s">
        <v>1137</v>
      </c>
      <c r="E13" s="2" t="s">
        <v>217</v>
      </c>
      <c r="F13" s="3" t="s">
        <v>1138</v>
      </c>
      <c r="G13" s="2" t="n">
        <f aca="false">COUNTIFS('School Contacts'!$B$2:$B$304,B13,'School Contacts'!$H$2:$H$304,"Verified*")</f>
        <v>5</v>
      </c>
      <c r="H13" s="2" t="str">
        <f aca="false">IF(G13&gt;=3,"Complete - 3+ verified contacts",IF(G13&gt;0,"Partial - limited public contact info","No verified contacts found"))</f>
        <v>Complete - 3+ verified contacts</v>
      </c>
      <c r="I13" s="3" t="s">
        <v>1145</v>
      </c>
    </row>
    <row r="14" customFormat="false" ht="15" hidden="false" customHeight="false" outlineLevel="0" collapsed="false">
      <c r="A14" s="2" t="s">
        <v>12</v>
      </c>
      <c r="B14" s="2" t="s">
        <v>224</v>
      </c>
      <c r="C14" s="2" t="s">
        <v>14</v>
      </c>
      <c r="D14" s="2" t="s">
        <v>1137</v>
      </c>
      <c r="E14" s="2" t="s">
        <v>228</v>
      </c>
      <c r="F14" s="3" t="s">
        <v>1138</v>
      </c>
      <c r="G14" s="2" t="n">
        <f aca="false">COUNTIFS('School Contacts'!$B$2:$B$304,B14,'School Contacts'!$H$2:$H$304,"Verified*")</f>
        <v>5</v>
      </c>
      <c r="H14" s="2" t="str">
        <f aca="false">IF(G14&gt;=3,"Complete - 3+ verified contacts",IF(G14&gt;0,"Partial - limited public contact info","No verified contacts found"))</f>
        <v>Complete - 3+ verified contacts</v>
      </c>
      <c r="I14" s="3"/>
    </row>
    <row r="15" customFormat="false" ht="15" hidden="false" customHeight="false" outlineLevel="0" collapsed="false">
      <c r="A15" s="2" t="s">
        <v>12</v>
      </c>
      <c r="B15" s="2" t="s">
        <v>240</v>
      </c>
      <c r="C15" s="2" t="s">
        <v>14</v>
      </c>
      <c r="D15" s="2" t="s">
        <v>1137</v>
      </c>
      <c r="E15" s="2" t="s">
        <v>241</v>
      </c>
      <c r="F15" s="3" t="s">
        <v>1138</v>
      </c>
      <c r="G15" s="2" t="n">
        <f aca="false">COUNTIFS('School Contacts'!$B$2:$B$304,B15,'School Contacts'!$H$2:$H$304,"Verified*")</f>
        <v>5</v>
      </c>
      <c r="H15" s="2" t="str">
        <f aca="false">IF(G15&gt;=3,"Complete - 3+ verified contacts",IF(G15&gt;0,"Partial - limited public contact info","No verified contacts found"))</f>
        <v>Complete - 3+ verified contacts</v>
      </c>
      <c r="I15" s="3"/>
    </row>
    <row r="16" customFormat="false" ht="46.25" hidden="false" customHeight="false" outlineLevel="0" collapsed="false">
      <c r="A16" s="2" t="s">
        <v>12</v>
      </c>
      <c r="B16" s="2" t="s">
        <v>251</v>
      </c>
      <c r="C16" s="2" t="s">
        <v>14</v>
      </c>
      <c r="D16" s="2" t="s">
        <v>1137</v>
      </c>
      <c r="E16" s="2" t="s">
        <v>257</v>
      </c>
      <c r="F16" s="3" t="s">
        <v>1146</v>
      </c>
      <c r="G16" s="2" t="n">
        <f aca="false">COUNTIFS('School Contacts'!$B$2:$B$304,B16,'School Contacts'!$H$2:$H$304,"Verified*")</f>
        <v>5</v>
      </c>
      <c r="H16" s="2" t="str">
        <f aca="false">IF(G16&gt;=3,"Complete - 3+ verified contacts",IF(G16&gt;0,"Partial - limited public contact info","No verified contacts found"))</f>
        <v>Complete - 3+ verified contacts</v>
      </c>
      <c r="I16" s="3" t="s">
        <v>1147</v>
      </c>
    </row>
    <row r="17" customFormat="false" ht="15" hidden="false" customHeight="false" outlineLevel="0" collapsed="false">
      <c r="A17" s="2" t="s">
        <v>12</v>
      </c>
      <c r="B17" s="2" t="s">
        <v>274</v>
      </c>
      <c r="C17" s="2" t="s">
        <v>22</v>
      </c>
      <c r="D17" s="2" t="s">
        <v>1148</v>
      </c>
      <c r="E17" s="2" t="s">
        <v>278</v>
      </c>
      <c r="F17" s="3" t="s">
        <v>1138</v>
      </c>
      <c r="G17" s="2" t="n">
        <f aca="false">COUNTIFS('School Contacts'!$B$2:$B$304,B17,'School Contacts'!$H$2:$H$304,"Verified*")</f>
        <v>5</v>
      </c>
      <c r="H17" s="2" t="str">
        <f aca="false">IF(G17&gt;=3,"Complete - 3+ verified contacts",IF(G17&gt;0,"Partial - limited public contact info","No verified contacts found"))</f>
        <v>Complete - 3+ verified contacts</v>
      </c>
      <c r="I17" s="3"/>
    </row>
    <row r="18" customFormat="false" ht="15" hidden="false" customHeight="false" outlineLevel="0" collapsed="false">
      <c r="A18" s="2" t="s">
        <v>12</v>
      </c>
      <c r="B18" s="2" t="s">
        <v>294</v>
      </c>
      <c r="C18" s="2" t="s">
        <v>22</v>
      </c>
      <c r="D18" s="2" t="s">
        <v>1148</v>
      </c>
      <c r="E18" s="2" t="s">
        <v>300</v>
      </c>
      <c r="F18" s="3" t="s">
        <v>1138</v>
      </c>
      <c r="G18" s="2" t="n">
        <f aca="false">COUNTIFS('School Contacts'!$B$2:$B$304,B18,'School Contacts'!$H$2:$H$304,"Verified*")</f>
        <v>5</v>
      </c>
      <c r="H18" s="2" t="str">
        <f aca="false">IF(G18&gt;=3,"Complete - 3+ verified contacts",IF(G18&gt;0,"Partial - limited public contact info","No verified contacts found"))</f>
        <v>Complete - 3+ verified contacts</v>
      </c>
      <c r="I18" s="3" t="s">
        <v>1149</v>
      </c>
    </row>
    <row r="19" customFormat="false" ht="15" hidden="false" customHeight="false" outlineLevel="0" collapsed="false">
      <c r="A19" s="2" t="s">
        <v>12</v>
      </c>
      <c r="B19" s="2" t="s">
        <v>318</v>
      </c>
      <c r="C19" s="2" t="s">
        <v>22</v>
      </c>
      <c r="D19" s="2" t="s">
        <v>1148</v>
      </c>
      <c r="E19" s="2" t="s">
        <v>323</v>
      </c>
      <c r="F19" s="3" t="s">
        <v>1138</v>
      </c>
      <c r="G19" s="2" t="n">
        <f aca="false">COUNTIFS('School Contacts'!$B$2:$B$304,B19,'School Contacts'!$H$2:$H$304,"Verified*")</f>
        <v>5</v>
      </c>
      <c r="H19" s="2" t="str">
        <f aca="false">IF(G19&gt;=3,"Complete - 3+ verified contacts",IF(G19&gt;0,"Partial - limited public contact info","No verified contacts found"))</f>
        <v>Complete - 3+ verified contacts</v>
      </c>
      <c r="I19" s="3" t="s">
        <v>1150</v>
      </c>
    </row>
    <row r="20" customFormat="false" ht="23.85" hidden="false" customHeight="false" outlineLevel="0" collapsed="false">
      <c r="A20" s="2" t="s">
        <v>12</v>
      </c>
      <c r="B20" s="2" t="s">
        <v>333</v>
      </c>
      <c r="C20" s="2" t="s">
        <v>22</v>
      </c>
      <c r="D20" s="2" t="s">
        <v>1148</v>
      </c>
      <c r="E20" s="2" t="s">
        <v>337</v>
      </c>
      <c r="F20" s="3" t="s">
        <v>1138</v>
      </c>
      <c r="G20" s="2" t="n">
        <f aca="false">COUNTIFS('School Contacts'!$B$2:$B$304,B20,'School Contacts'!$H$2:$H$304,"Verified*")</f>
        <v>5</v>
      </c>
      <c r="H20" s="2" t="str">
        <f aca="false">IF(G20&gt;=3,"Complete - 3+ verified contacts",IF(G20&gt;0,"Partial - limited public contact info","No verified contacts found"))</f>
        <v>Complete - 3+ verified contacts</v>
      </c>
      <c r="I20" s="3" t="s">
        <v>1151</v>
      </c>
    </row>
    <row r="21" customFormat="false" ht="15" hidden="false" customHeight="false" outlineLevel="0" collapsed="false">
      <c r="A21" s="2" t="s">
        <v>12</v>
      </c>
      <c r="B21" s="2" t="s">
        <v>347</v>
      </c>
      <c r="C21" s="2" t="s">
        <v>22</v>
      </c>
      <c r="D21" s="2" t="s">
        <v>1148</v>
      </c>
      <c r="E21" s="2" t="s">
        <v>351</v>
      </c>
      <c r="F21" s="3" t="s">
        <v>1138</v>
      </c>
      <c r="G21" s="2" t="n">
        <f aca="false">COUNTIFS('School Contacts'!$B$2:$B$304,B21,'School Contacts'!$H$2:$H$304,"Verified*")</f>
        <v>5</v>
      </c>
      <c r="H21" s="2" t="str">
        <f aca="false">IF(G21&gt;=3,"Complete - 3+ verified contacts",IF(G21&gt;0,"Partial - limited public contact info","No verified contacts found"))</f>
        <v>Complete - 3+ verified contacts</v>
      </c>
      <c r="I21" s="3" t="s">
        <v>1152</v>
      </c>
    </row>
    <row r="22" customFormat="false" ht="15" hidden="false" customHeight="false" outlineLevel="0" collapsed="false">
      <c r="A22" s="2" t="s">
        <v>12</v>
      </c>
      <c r="B22" s="2" t="s">
        <v>362</v>
      </c>
      <c r="C22" s="2" t="s">
        <v>22</v>
      </c>
      <c r="D22" s="2" t="s">
        <v>1148</v>
      </c>
      <c r="E22" s="2" t="s">
        <v>366</v>
      </c>
      <c r="F22" s="3" t="s">
        <v>1138</v>
      </c>
      <c r="G22" s="2" t="n">
        <f aca="false">COUNTIFS('School Contacts'!$B$2:$B$304,B22,'School Contacts'!$H$2:$H$304,"Verified*")</f>
        <v>5</v>
      </c>
      <c r="H22" s="2" t="str">
        <f aca="false">IF(G22&gt;=3,"Complete - 3+ verified contacts",IF(G22&gt;0,"Partial - limited public contact info","No verified contacts found"))</f>
        <v>Complete - 3+ verified contacts</v>
      </c>
      <c r="I22" s="3"/>
    </row>
    <row r="23" customFormat="false" ht="15" hidden="false" customHeight="false" outlineLevel="0" collapsed="false">
      <c r="A23" s="2" t="s">
        <v>12</v>
      </c>
      <c r="B23" s="2" t="s">
        <v>380</v>
      </c>
      <c r="C23" s="2" t="s">
        <v>22</v>
      </c>
      <c r="D23" s="2" t="s">
        <v>1148</v>
      </c>
      <c r="E23" s="2" t="s">
        <v>381</v>
      </c>
      <c r="F23" s="3" t="s">
        <v>1138</v>
      </c>
      <c r="G23" s="2" t="n">
        <f aca="false">COUNTIFS('School Contacts'!$B$2:$B$304,B23,'School Contacts'!$H$2:$H$304,"Verified*")</f>
        <v>5</v>
      </c>
      <c r="H23" s="2" t="str">
        <f aca="false">IF(G23&gt;=3,"Complete - 3+ verified contacts",IF(G23&gt;0,"Partial - limited public contact info","No verified contacts found"))</f>
        <v>Complete - 3+ verified contacts</v>
      </c>
      <c r="I23" s="3"/>
    </row>
    <row r="24" customFormat="false" ht="15" hidden="false" customHeight="false" outlineLevel="0" collapsed="false">
      <c r="A24" s="2" t="s">
        <v>12</v>
      </c>
      <c r="B24" s="2" t="s">
        <v>393</v>
      </c>
      <c r="C24" s="2" t="s">
        <v>22</v>
      </c>
      <c r="D24" s="2" t="s">
        <v>1148</v>
      </c>
      <c r="E24" s="2" t="s">
        <v>396</v>
      </c>
      <c r="F24" s="3" t="s">
        <v>1138</v>
      </c>
      <c r="G24" s="2" t="n">
        <f aca="false">COUNTIFS('School Contacts'!$B$2:$B$304,B24,'School Contacts'!$H$2:$H$304,"Verified*")</f>
        <v>5</v>
      </c>
      <c r="H24" s="2" t="str">
        <f aca="false">IF(G24&gt;=3,"Complete - 3+ verified contacts",IF(G24&gt;0,"Partial - limited public contact info","No verified contacts found"))</f>
        <v>Complete - 3+ verified contacts</v>
      </c>
      <c r="I24" s="3" t="s">
        <v>1153</v>
      </c>
    </row>
    <row r="25" customFormat="false" ht="23.85" hidden="false" customHeight="false" outlineLevel="0" collapsed="false">
      <c r="A25" s="2" t="s">
        <v>12</v>
      </c>
      <c r="B25" s="2" t="s">
        <v>405</v>
      </c>
      <c r="C25" s="2" t="s">
        <v>22</v>
      </c>
      <c r="D25" s="2" t="s">
        <v>1148</v>
      </c>
      <c r="E25" s="2" t="s">
        <v>409</v>
      </c>
      <c r="F25" s="3" t="s">
        <v>1138</v>
      </c>
      <c r="G25" s="2" t="n">
        <f aca="false">COUNTIFS('School Contacts'!$B$2:$B$304,B25,'School Contacts'!$H$2:$H$304,"Verified*")</f>
        <v>5</v>
      </c>
      <c r="H25" s="2" t="str">
        <f aca="false">IF(G25&gt;=3,"Complete - 3+ verified contacts",IF(G25&gt;0,"Partial - limited public contact info","No verified contacts found"))</f>
        <v>Complete - 3+ verified contacts</v>
      </c>
      <c r="I25" s="3" t="s">
        <v>1154</v>
      </c>
    </row>
    <row r="26" customFormat="false" ht="15" hidden="false" customHeight="false" outlineLevel="0" collapsed="false">
      <c r="A26" s="2" t="s">
        <v>12</v>
      </c>
      <c r="B26" s="2" t="s">
        <v>420</v>
      </c>
      <c r="C26" s="2" t="s">
        <v>22</v>
      </c>
      <c r="D26" s="2" t="s">
        <v>1148</v>
      </c>
      <c r="E26" s="2" t="s">
        <v>421</v>
      </c>
      <c r="F26" s="3" t="s">
        <v>1138</v>
      </c>
      <c r="G26" s="2" t="n">
        <f aca="false">COUNTIFS('School Contacts'!$B$2:$B$304,B26,'School Contacts'!$H$2:$H$304,"Verified*")</f>
        <v>5</v>
      </c>
      <c r="H26" s="2" t="str">
        <f aca="false">IF(G26&gt;=3,"Complete - 3+ verified contacts",IF(G26&gt;0,"Partial - limited public contact info","No verified contacts found"))</f>
        <v>Complete - 3+ verified contacts</v>
      </c>
      <c r="I26" s="3"/>
    </row>
    <row r="27" customFormat="false" ht="46.25" hidden="false" customHeight="false" outlineLevel="0" collapsed="false">
      <c r="A27" s="2" t="s">
        <v>12</v>
      </c>
      <c r="B27" s="2" t="s">
        <v>439</v>
      </c>
      <c r="C27" s="2" t="s">
        <v>22</v>
      </c>
      <c r="D27" s="2" t="s">
        <v>1148</v>
      </c>
      <c r="E27" s="2" t="s">
        <v>444</v>
      </c>
      <c r="F27" s="3" t="s">
        <v>1155</v>
      </c>
      <c r="G27" s="2" t="n">
        <f aca="false">COUNTIFS('School Contacts'!$B$2:$B$304,B27,'School Contacts'!$H$2:$H$304,"Verified*")</f>
        <v>5</v>
      </c>
      <c r="H27" s="2" t="str">
        <f aca="false">IF(G27&gt;=3,"Complete - 3+ verified contacts",IF(G27&gt;0,"Partial - limited public contact info","No verified contacts found"))</f>
        <v>Complete - 3+ verified contacts</v>
      </c>
      <c r="I27" s="3" t="s">
        <v>1156</v>
      </c>
    </row>
    <row r="28" customFormat="false" ht="46.25" hidden="false" customHeight="false" outlineLevel="0" collapsed="false">
      <c r="A28" s="2" t="s">
        <v>12</v>
      </c>
      <c r="B28" s="2" t="s">
        <v>459</v>
      </c>
      <c r="C28" s="2" t="s">
        <v>22</v>
      </c>
      <c r="D28" s="2" t="s">
        <v>1148</v>
      </c>
      <c r="E28" s="2" t="s">
        <v>465</v>
      </c>
      <c r="F28" s="3" t="s">
        <v>1157</v>
      </c>
      <c r="G28" s="2" t="n">
        <f aca="false">COUNTIFS('School Contacts'!$B$2:$B$304,B28,'School Contacts'!$H$2:$H$304,"Verified*")</f>
        <v>5</v>
      </c>
      <c r="H28" s="2" t="str">
        <f aca="false">IF(G28&gt;=3,"Complete - 3+ verified contacts",IF(G28&gt;0,"Partial - limited public contact info","No verified contacts found"))</f>
        <v>Complete - 3+ verified contacts</v>
      </c>
      <c r="I28" s="3" t="s">
        <v>1158</v>
      </c>
    </row>
    <row r="29" customFormat="false" ht="46.25" hidden="false" customHeight="false" outlineLevel="0" collapsed="false">
      <c r="A29" s="2" t="s">
        <v>12</v>
      </c>
      <c r="B29" s="2" t="s">
        <v>486</v>
      </c>
      <c r="C29" s="2" t="s">
        <v>487</v>
      </c>
      <c r="D29" s="2" t="s">
        <v>1159</v>
      </c>
      <c r="E29" s="2" t="s">
        <v>492</v>
      </c>
      <c r="F29" s="3" t="s">
        <v>1155</v>
      </c>
      <c r="G29" s="2" t="n">
        <f aca="false">COUNTIFS('School Contacts'!$B$2:$B$304,B29,'School Contacts'!$H$2:$H$304,"Verified*")</f>
        <v>5</v>
      </c>
      <c r="H29" s="2" t="str">
        <f aca="false">IF(G29&gt;=3,"Complete - 3+ verified contacts",IF(G29&gt;0,"Partial - limited public contact info","No verified contacts found"))</f>
        <v>Complete - 3+ verified contacts</v>
      </c>
      <c r="I29" s="3"/>
    </row>
    <row r="30" customFormat="false" ht="46.25" hidden="false" customHeight="false" outlineLevel="0" collapsed="false">
      <c r="A30" s="2" t="s">
        <v>12</v>
      </c>
      <c r="B30" s="2" t="s">
        <v>502</v>
      </c>
      <c r="C30" s="2" t="s">
        <v>487</v>
      </c>
      <c r="D30" s="2" t="s">
        <v>1160</v>
      </c>
      <c r="E30" s="2" t="s">
        <v>507</v>
      </c>
      <c r="F30" s="3" t="s">
        <v>1157</v>
      </c>
      <c r="G30" s="2" t="n">
        <f aca="false">COUNTIFS('School Contacts'!$B$2:$B$304,B30,'School Contacts'!$H$2:$H$304,"Verified*")</f>
        <v>1</v>
      </c>
      <c r="H30" s="2" t="str">
        <f aca="false">IF(G30&gt;=3,"Complete - 3+ verified contacts",IF(G30&gt;0,"Partial - limited public contact info","No verified contacts found"))</f>
        <v>Partial - limited public contact info</v>
      </c>
      <c r="I30" s="3" t="s">
        <v>1161</v>
      </c>
    </row>
    <row r="31" customFormat="false" ht="23.85" hidden="false" customHeight="false" outlineLevel="0" collapsed="false">
      <c r="A31" s="2" t="s">
        <v>12</v>
      </c>
      <c r="B31" s="2" t="s">
        <v>1162</v>
      </c>
      <c r="C31" s="2" t="s">
        <v>487</v>
      </c>
      <c r="D31" s="2" t="s">
        <v>1163</v>
      </c>
      <c r="E31" s="2" t="s">
        <v>1164</v>
      </c>
      <c r="F31" s="3" t="s">
        <v>1138</v>
      </c>
      <c r="G31" s="2" t="n">
        <f aca="false">COUNTIFS('School Contacts'!$B$2:$B$304,B31,'School Contacts'!$H$2:$H$304,"Verified*")</f>
        <v>0</v>
      </c>
      <c r="H31" s="2" t="str">
        <f aca="false">IF(G31&gt;=3,"Complete - 3+ verified contacts",IF(G31&gt;0,"Partial - limited public contact info","No verified contacts found"))</f>
        <v>No verified contacts found</v>
      </c>
      <c r="I31" s="3" t="s">
        <v>1165</v>
      </c>
    </row>
    <row r="32" customFormat="false" ht="23.85" hidden="false" customHeight="false" outlineLevel="0" collapsed="false">
      <c r="A32" s="2" t="s">
        <v>12</v>
      </c>
      <c r="B32" s="2" t="s">
        <v>513</v>
      </c>
      <c r="C32" s="2" t="s">
        <v>487</v>
      </c>
      <c r="D32" s="2" t="s">
        <v>1166</v>
      </c>
      <c r="E32" s="2" t="s">
        <v>518</v>
      </c>
      <c r="F32" s="3" t="s">
        <v>1138</v>
      </c>
      <c r="G32" s="2" t="n">
        <f aca="false">COUNTIFS('School Contacts'!$B$2:$B$304,B32,'School Contacts'!$H$2:$H$304,"Verified*")</f>
        <v>1</v>
      </c>
      <c r="H32" s="2" t="str">
        <f aca="false">IF(G32&gt;=3,"Complete - 3+ verified contacts",IF(G32&gt;0,"Partial - limited public contact info","No verified contacts found"))</f>
        <v>Partial - limited public contact info</v>
      </c>
      <c r="I32" s="3" t="s">
        <v>1167</v>
      </c>
    </row>
    <row r="33" customFormat="false" ht="35.05" hidden="false" customHeight="false" outlineLevel="0" collapsed="false">
      <c r="A33" s="2" t="s">
        <v>520</v>
      </c>
      <c r="B33" s="2" t="s">
        <v>521</v>
      </c>
      <c r="C33" s="2" t="s">
        <v>14</v>
      </c>
      <c r="D33" s="2" t="s">
        <v>1137</v>
      </c>
      <c r="E33" s="2" t="s">
        <v>527</v>
      </c>
      <c r="F33" s="3" t="s">
        <v>1168</v>
      </c>
      <c r="G33" s="2" t="n">
        <f aca="false">COUNTIFS('School Contacts'!$B$2:$B$304,B33,'School Contacts'!$H$2:$H$304,"Verified*")</f>
        <v>5</v>
      </c>
      <c r="H33" s="2" t="str">
        <f aca="false">IF(G33&gt;=3,"Complete - 3+ verified contacts",IF(G33&gt;0,"Partial - limited public contact info","No verified contacts found"))</f>
        <v>Complete - 3+ verified contacts</v>
      </c>
      <c r="I33" s="3"/>
    </row>
    <row r="34" customFormat="false" ht="35.05" hidden="false" customHeight="false" outlineLevel="0" collapsed="false">
      <c r="A34" s="2" t="s">
        <v>520</v>
      </c>
      <c r="B34" s="2" t="s">
        <v>540</v>
      </c>
      <c r="C34" s="2" t="s">
        <v>14</v>
      </c>
      <c r="D34" s="2" t="s">
        <v>1137</v>
      </c>
      <c r="E34" s="2" t="s">
        <v>545</v>
      </c>
      <c r="F34" s="3" t="s">
        <v>1168</v>
      </c>
      <c r="G34" s="2" t="n">
        <f aca="false">COUNTIFS('School Contacts'!$B$2:$B$304,B34,'School Contacts'!$H$2:$H$304,"Verified*")</f>
        <v>5</v>
      </c>
      <c r="H34" s="2" t="str">
        <f aca="false">IF(G34&gt;=3,"Complete - 3+ verified contacts",IF(G34&gt;0,"Partial - limited public contact info","No verified contacts found"))</f>
        <v>Complete - 3+ verified contacts</v>
      </c>
      <c r="I34" s="3"/>
    </row>
    <row r="35" customFormat="false" ht="35.05" hidden="false" customHeight="false" outlineLevel="0" collapsed="false">
      <c r="A35" s="2" t="s">
        <v>520</v>
      </c>
      <c r="B35" s="2" t="s">
        <v>557</v>
      </c>
      <c r="C35" s="2" t="s">
        <v>14</v>
      </c>
      <c r="D35" s="2" t="s">
        <v>1137</v>
      </c>
      <c r="E35" s="2" t="s">
        <v>561</v>
      </c>
      <c r="F35" s="3" t="s">
        <v>1168</v>
      </c>
      <c r="G35" s="2" t="n">
        <f aca="false">COUNTIFS('School Contacts'!$B$2:$B$304,B35,'School Contacts'!$H$2:$H$304,"Verified*")</f>
        <v>4</v>
      </c>
      <c r="H35" s="2" t="str">
        <f aca="false">IF(G35&gt;=3,"Complete - 3+ verified contacts",IF(G35&gt;0,"Partial - limited public contact info","No verified contacts found"))</f>
        <v>Complete - 3+ verified contacts</v>
      </c>
      <c r="I35" s="3" t="s">
        <v>1169</v>
      </c>
    </row>
    <row r="36" customFormat="false" ht="35.05" hidden="false" customHeight="false" outlineLevel="0" collapsed="false">
      <c r="A36" s="2" t="s">
        <v>520</v>
      </c>
      <c r="B36" s="2" t="s">
        <v>572</v>
      </c>
      <c r="C36" s="2" t="s">
        <v>14</v>
      </c>
      <c r="D36" s="2" t="s">
        <v>1137</v>
      </c>
      <c r="E36" s="2" t="s">
        <v>578</v>
      </c>
      <c r="F36" s="3" t="s">
        <v>1168</v>
      </c>
      <c r="G36" s="2" t="n">
        <f aca="false">COUNTIFS('School Contacts'!$B$2:$B$304,B36,'School Contacts'!$H$2:$H$304,"Verified*")</f>
        <v>5</v>
      </c>
      <c r="H36" s="2" t="str">
        <f aca="false">IF(G36&gt;=3,"Complete - 3+ verified contacts",IF(G36&gt;0,"Partial - limited public contact info","No verified contacts found"))</f>
        <v>Complete - 3+ verified contacts</v>
      </c>
      <c r="I36" s="3" t="s">
        <v>1170</v>
      </c>
    </row>
    <row r="37" customFormat="false" ht="35.05" hidden="false" customHeight="false" outlineLevel="0" collapsed="false">
      <c r="A37" s="2" t="s">
        <v>520</v>
      </c>
      <c r="B37" s="2" t="s">
        <v>592</v>
      </c>
      <c r="C37" s="2" t="s">
        <v>14</v>
      </c>
      <c r="D37" s="2" t="s">
        <v>1137</v>
      </c>
      <c r="E37" s="2" t="s">
        <v>597</v>
      </c>
      <c r="F37" s="3" t="s">
        <v>1168</v>
      </c>
      <c r="G37" s="2" t="n">
        <f aca="false">COUNTIFS('School Contacts'!$B$2:$B$304,B37,'School Contacts'!$H$2:$H$304,"Verified*")</f>
        <v>5</v>
      </c>
      <c r="H37" s="2" t="str">
        <f aca="false">IF(G37&gt;=3,"Complete - 3+ verified contacts",IF(G37&gt;0,"Partial - limited public contact info","No verified contacts found"))</f>
        <v>Complete - 3+ verified contacts</v>
      </c>
      <c r="I37" s="3" t="s">
        <v>1171</v>
      </c>
    </row>
    <row r="38" customFormat="false" ht="35.05" hidden="false" customHeight="false" outlineLevel="0" collapsed="false">
      <c r="A38" s="2" t="s">
        <v>520</v>
      </c>
      <c r="B38" s="2" t="s">
        <v>611</v>
      </c>
      <c r="C38" s="2" t="s">
        <v>14</v>
      </c>
      <c r="D38" s="2" t="s">
        <v>1137</v>
      </c>
      <c r="E38" s="2" t="s">
        <v>615</v>
      </c>
      <c r="F38" s="3" t="s">
        <v>1168</v>
      </c>
      <c r="G38" s="2" t="n">
        <f aca="false">COUNTIFS('School Contacts'!$B$2:$B$304,B38,'School Contacts'!$H$2:$H$304,"Verified*")</f>
        <v>4</v>
      </c>
      <c r="H38" s="2" t="str">
        <f aca="false">IF(G38&gt;=3,"Complete - 3+ verified contacts",IF(G38&gt;0,"Partial - limited public contact info","No verified contacts found"))</f>
        <v>Complete - 3+ verified contacts</v>
      </c>
      <c r="I38" s="3" t="s">
        <v>1172</v>
      </c>
    </row>
    <row r="39" customFormat="false" ht="35.05" hidden="false" customHeight="false" outlineLevel="0" collapsed="false">
      <c r="A39" s="2" t="s">
        <v>520</v>
      </c>
      <c r="B39" s="2" t="s">
        <v>622</v>
      </c>
      <c r="C39" s="2" t="s">
        <v>14</v>
      </c>
      <c r="D39" s="2" t="s">
        <v>1137</v>
      </c>
      <c r="E39" s="2" t="s">
        <v>627</v>
      </c>
      <c r="F39" s="3" t="s">
        <v>1168</v>
      </c>
      <c r="G39" s="2" t="n">
        <f aca="false">COUNTIFS('School Contacts'!$B$2:$B$304,B39,'School Contacts'!$H$2:$H$304,"Verified*")</f>
        <v>5</v>
      </c>
      <c r="H39" s="2" t="str">
        <f aca="false">IF(G39&gt;=3,"Complete - 3+ verified contacts",IF(G39&gt;0,"Partial - limited public contact info","No verified contacts found"))</f>
        <v>Complete - 3+ verified contacts</v>
      </c>
      <c r="I39" s="3"/>
    </row>
    <row r="40" customFormat="false" ht="35.05" hidden="false" customHeight="false" outlineLevel="0" collapsed="false">
      <c r="A40" s="2" t="s">
        <v>520</v>
      </c>
      <c r="B40" s="2" t="s">
        <v>638</v>
      </c>
      <c r="C40" s="2" t="s">
        <v>22</v>
      </c>
      <c r="D40" s="2" t="s">
        <v>1148</v>
      </c>
      <c r="E40" s="2" t="s">
        <v>642</v>
      </c>
      <c r="F40" s="3" t="s">
        <v>1168</v>
      </c>
      <c r="G40" s="2" t="n">
        <f aca="false">COUNTIFS('School Contacts'!$B$2:$B$304,B40,'School Contacts'!$H$2:$H$304,"Verified*")</f>
        <v>4</v>
      </c>
      <c r="H40" s="2" t="str">
        <f aca="false">IF(G40&gt;=3,"Complete - 3+ verified contacts",IF(G40&gt;0,"Partial - limited public contact info","No verified contacts found"))</f>
        <v>Complete - 3+ verified contacts</v>
      </c>
      <c r="I40" s="3" t="s">
        <v>1173</v>
      </c>
    </row>
    <row r="41" customFormat="false" ht="35.05" hidden="false" customHeight="false" outlineLevel="0" collapsed="false">
      <c r="A41" s="2" t="s">
        <v>520</v>
      </c>
      <c r="B41" s="2" t="s">
        <v>659</v>
      </c>
      <c r="C41" s="2" t="s">
        <v>22</v>
      </c>
      <c r="D41" s="2" t="s">
        <v>1148</v>
      </c>
      <c r="E41" s="2" t="s">
        <v>665</v>
      </c>
      <c r="F41" s="3" t="s">
        <v>1168</v>
      </c>
      <c r="G41" s="2" t="n">
        <f aca="false">COUNTIFS('School Contacts'!$B$2:$B$304,B41,'School Contacts'!$H$2:$H$304,"Verified*")</f>
        <v>5</v>
      </c>
      <c r="H41" s="2" t="str">
        <f aca="false">IF(G41&gt;=3,"Complete - 3+ verified contacts",IF(G41&gt;0,"Partial - limited public contact info","No verified contacts found"))</f>
        <v>Complete - 3+ verified contacts</v>
      </c>
      <c r="I41" s="3" t="s">
        <v>1174</v>
      </c>
    </row>
    <row r="42" customFormat="false" ht="35.05" hidden="false" customHeight="false" outlineLevel="0" collapsed="false">
      <c r="A42" s="2" t="s">
        <v>520</v>
      </c>
      <c r="B42" s="2" t="s">
        <v>679</v>
      </c>
      <c r="C42" s="2" t="s">
        <v>22</v>
      </c>
      <c r="D42" s="2" t="s">
        <v>1148</v>
      </c>
      <c r="E42" s="2" t="s">
        <v>685</v>
      </c>
      <c r="F42" s="3" t="s">
        <v>1168</v>
      </c>
      <c r="G42" s="2" t="n">
        <f aca="false">COUNTIFS('School Contacts'!$B$2:$B$304,B42,'School Contacts'!$H$2:$H$304,"Verified*")</f>
        <v>5</v>
      </c>
      <c r="H42" s="2" t="str">
        <f aca="false">IF(G42&gt;=3,"Complete - 3+ verified contacts",IF(G42&gt;0,"Partial - limited public contact info","No verified contacts found"))</f>
        <v>Complete - 3+ verified contacts</v>
      </c>
      <c r="I42" s="3" t="s">
        <v>1175</v>
      </c>
    </row>
    <row r="43" customFormat="false" ht="35.05" hidden="false" customHeight="false" outlineLevel="0" collapsed="false">
      <c r="A43" s="2" t="s">
        <v>520</v>
      </c>
      <c r="B43" s="2" t="s">
        <v>699</v>
      </c>
      <c r="C43" s="2" t="s">
        <v>22</v>
      </c>
      <c r="D43" s="2" t="s">
        <v>1148</v>
      </c>
      <c r="E43" s="2" t="s">
        <v>705</v>
      </c>
      <c r="F43" s="3" t="s">
        <v>1168</v>
      </c>
      <c r="G43" s="2" t="n">
        <f aca="false">COUNTIFS('School Contacts'!$B$2:$B$304,B43,'School Contacts'!$H$2:$H$304,"Verified*")</f>
        <v>5</v>
      </c>
      <c r="H43" s="2" t="str">
        <f aca="false">IF(G43&gt;=3,"Complete - 3+ verified contacts",IF(G43&gt;0,"Partial - limited public contact info","No verified contacts found"))</f>
        <v>Complete - 3+ verified contacts</v>
      </c>
      <c r="I43" s="3" t="s">
        <v>1176</v>
      </c>
    </row>
    <row r="44" customFormat="false" ht="35.05" hidden="false" customHeight="false" outlineLevel="0" collapsed="false">
      <c r="A44" s="2" t="s">
        <v>520</v>
      </c>
      <c r="B44" s="2" t="s">
        <v>718</v>
      </c>
      <c r="C44" s="2" t="s">
        <v>22</v>
      </c>
      <c r="D44" s="2" t="s">
        <v>1148</v>
      </c>
      <c r="E44" s="2" t="s">
        <v>724</v>
      </c>
      <c r="F44" s="3" t="s">
        <v>1168</v>
      </c>
      <c r="G44" s="2" t="n">
        <f aca="false">COUNTIFS('School Contacts'!$B$2:$B$304,B44,'School Contacts'!$H$2:$H$304,"Verified*")</f>
        <v>5</v>
      </c>
      <c r="H44" s="2" t="str">
        <f aca="false">IF(G44&gt;=3,"Complete - 3+ verified contacts",IF(G44&gt;0,"Partial - limited public contact info","No verified contacts found"))</f>
        <v>Complete - 3+ verified contacts</v>
      </c>
      <c r="I44" s="3" t="s">
        <v>1177</v>
      </c>
    </row>
    <row r="45" customFormat="false" ht="35.05" hidden="false" customHeight="false" outlineLevel="0" collapsed="false">
      <c r="A45" s="2" t="s">
        <v>520</v>
      </c>
      <c r="B45" s="2" t="s">
        <v>739</v>
      </c>
      <c r="C45" s="2" t="s">
        <v>22</v>
      </c>
      <c r="D45" s="2" t="s">
        <v>1148</v>
      </c>
      <c r="E45" s="2" t="s">
        <v>745</v>
      </c>
      <c r="F45" s="3" t="s">
        <v>1168</v>
      </c>
      <c r="G45" s="2" t="n">
        <f aca="false">COUNTIFS('School Contacts'!$B$2:$B$304,B45,'School Contacts'!$H$2:$H$304,"Verified*")</f>
        <v>5</v>
      </c>
      <c r="H45" s="2" t="str">
        <f aca="false">IF(G45&gt;=3,"Complete - 3+ verified contacts",IF(G45&gt;0,"Partial - limited public contact info","No verified contacts found"))</f>
        <v>Complete - 3+ verified contacts</v>
      </c>
      <c r="I45" s="3" t="s">
        <v>1178</v>
      </c>
    </row>
    <row r="46" customFormat="false" ht="35.05" hidden="false" customHeight="false" outlineLevel="0" collapsed="false">
      <c r="A46" s="2" t="s">
        <v>520</v>
      </c>
      <c r="B46" s="2" t="s">
        <v>760</v>
      </c>
      <c r="C46" s="2" t="s">
        <v>22</v>
      </c>
      <c r="D46" s="2" t="s">
        <v>1148</v>
      </c>
      <c r="E46" s="2" t="s">
        <v>765</v>
      </c>
      <c r="F46" s="3" t="s">
        <v>1168</v>
      </c>
      <c r="G46" s="2" t="n">
        <f aca="false">COUNTIFS('School Contacts'!$B$2:$B$304,B46,'School Contacts'!$H$2:$H$304,"Verified*")</f>
        <v>2</v>
      </c>
      <c r="H46" s="2" t="str">
        <f aca="false">IF(G46&gt;=3,"Complete - 3+ verified contacts",IF(G46&gt;0,"Partial - limited public contact info","No verified contacts found"))</f>
        <v>Partial - limited public contact info</v>
      </c>
      <c r="I46" s="3" t="s">
        <v>1179</v>
      </c>
    </row>
    <row r="47" customFormat="false" ht="23.85" hidden="false" customHeight="false" outlineLevel="0" collapsed="false">
      <c r="A47" s="2" t="s">
        <v>520</v>
      </c>
      <c r="B47" s="2" t="s">
        <v>771</v>
      </c>
      <c r="C47" s="2" t="s">
        <v>487</v>
      </c>
      <c r="D47" s="2" t="s">
        <v>1180</v>
      </c>
      <c r="E47" s="2" t="s">
        <v>772</v>
      </c>
      <c r="F47" s="3" t="s">
        <v>1181</v>
      </c>
      <c r="G47" s="2" t="n">
        <f aca="false">COUNTIFS('School Contacts'!$B$2:$B$304,B47,'School Contacts'!$H$2:$H$304,"Verified*")</f>
        <v>2</v>
      </c>
      <c r="H47" s="2" t="str">
        <f aca="false">IF(G47&gt;=3,"Complete - 3+ verified contacts",IF(G47&gt;0,"Partial - limited public contact info","No verified contacts found"))</f>
        <v>Partial - limited public contact info</v>
      </c>
      <c r="I47" s="3" t="s">
        <v>1182</v>
      </c>
    </row>
    <row r="48" customFormat="false" ht="46.25" hidden="false" customHeight="false" outlineLevel="0" collapsed="false">
      <c r="A48" s="2" t="s">
        <v>773</v>
      </c>
      <c r="B48" s="2" t="s">
        <v>774</v>
      </c>
      <c r="C48" s="2" t="s">
        <v>14</v>
      </c>
      <c r="D48" s="2" t="s">
        <v>1137</v>
      </c>
      <c r="E48" s="2" t="s">
        <v>780</v>
      </c>
      <c r="F48" s="3" t="s">
        <v>1183</v>
      </c>
      <c r="G48" s="2" t="n">
        <f aca="false">COUNTIFS('School Contacts'!$B$2:$B$304,B48,'School Contacts'!$H$2:$H$304,"Verified*")</f>
        <v>5</v>
      </c>
      <c r="H48" s="2" t="str">
        <f aca="false">IF(G48&gt;=3,"Complete - 3+ verified contacts",IF(G48&gt;0,"Partial - limited public contact info","No verified contacts found"))</f>
        <v>Complete - 3+ verified contacts</v>
      </c>
      <c r="I48" s="3"/>
    </row>
    <row r="49" customFormat="false" ht="46.25" hidden="false" customHeight="false" outlineLevel="0" collapsed="false">
      <c r="A49" s="2" t="s">
        <v>773</v>
      </c>
      <c r="B49" s="2" t="s">
        <v>795</v>
      </c>
      <c r="C49" s="2" t="s">
        <v>14</v>
      </c>
      <c r="D49" s="2" t="s">
        <v>1137</v>
      </c>
      <c r="E49" s="2" t="s">
        <v>801</v>
      </c>
      <c r="F49" s="3" t="s">
        <v>1183</v>
      </c>
      <c r="G49" s="2" t="n">
        <f aca="false">COUNTIFS('School Contacts'!$B$2:$B$304,B49,'School Contacts'!$H$2:$H$304,"Verified*")</f>
        <v>4</v>
      </c>
      <c r="H49" s="2" t="str">
        <f aca="false">IF(G49&gt;=3,"Complete - 3+ verified contacts",IF(G49&gt;0,"Partial - limited public contact info","No verified contacts found"))</f>
        <v>Complete - 3+ verified contacts</v>
      </c>
      <c r="I49" s="3" t="s">
        <v>1184</v>
      </c>
    </row>
    <row r="50" customFormat="false" ht="46.25" hidden="false" customHeight="false" outlineLevel="0" collapsed="false">
      <c r="A50" s="2" t="s">
        <v>773</v>
      </c>
      <c r="B50" s="2" t="s">
        <v>809</v>
      </c>
      <c r="C50" s="2" t="s">
        <v>14</v>
      </c>
      <c r="D50" s="2" t="s">
        <v>1137</v>
      </c>
      <c r="E50" s="2" t="s">
        <v>814</v>
      </c>
      <c r="F50" s="3" t="s">
        <v>1183</v>
      </c>
      <c r="G50" s="2" t="n">
        <f aca="false">COUNTIFS('School Contacts'!$B$2:$B$304,B50,'School Contacts'!$H$2:$H$304,"Verified*")</f>
        <v>5</v>
      </c>
      <c r="H50" s="2" t="str">
        <f aca="false">IF(G50&gt;=3,"Complete - 3+ verified contacts",IF(G50&gt;0,"Partial - limited public contact info","No verified contacts found"))</f>
        <v>Complete - 3+ verified contacts</v>
      </c>
      <c r="I50" s="3"/>
    </row>
    <row r="51" customFormat="false" ht="46.25" hidden="false" customHeight="false" outlineLevel="0" collapsed="false">
      <c r="A51" s="2" t="s">
        <v>773</v>
      </c>
      <c r="B51" s="2" t="s">
        <v>828</v>
      </c>
      <c r="C51" s="2" t="s">
        <v>14</v>
      </c>
      <c r="D51" s="2" t="s">
        <v>1137</v>
      </c>
      <c r="E51" s="2" t="s">
        <v>834</v>
      </c>
      <c r="F51" s="3" t="s">
        <v>1183</v>
      </c>
      <c r="G51" s="2" t="n">
        <f aca="false">COUNTIFS('School Contacts'!$B$2:$B$304,B51,'School Contacts'!$H$2:$H$304,"Verified*")</f>
        <v>4</v>
      </c>
      <c r="H51" s="2" t="str">
        <f aca="false">IF(G51&gt;=3,"Complete - 3+ verified contacts",IF(G51&gt;0,"Partial - limited public contact info","No verified contacts found"))</f>
        <v>Complete - 3+ verified contacts</v>
      </c>
      <c r="I51" s="3" t="s">
        <v>1185</v>
      </c>
    </row>
    <row r="52" customFormat="false" ht="46.25" hidden="false" customHeight="false" outlineLevel="0" collapsed="false">
      <c r="A52" s="2" t="s">
        <v>773</v>
      </c>
      <c r="B52" s="2" t="s">
        <v>843</v>
      </c>
      <c r="C52" s="2" t="s">
        <v>14</v>
      </c>
      <c r="D52" s="2" t="s">
        <v>1137</v>
      </c>
      <c r="E52" s="2" t="s">
        <v>849</v>
      </c>
      <c r="F52" s="3" t="s">
        <v>1183</v>
      </c>
      <c r="G52" s="2" t="n">
        <f aca="false">COUNTIFS('School Contacts'!$B$2:$B$304,B52,'School Contacts'!$H$2:$H$304,"Verified*")</f>
        <v>5</v>
      </c>
      <c r="H52" s="2" t="str">
        <f aca="false">IF(G52&gt;=3,"Complete - 3+ verified contacts",IF(G52&gt;0,"Partial - limited public contact info","No verified contacts found"))</f>
        <v>Complete - 3+ verified contacts</v>
      </c>
      <c r="I52" s="3"/>
    </row>
    <row r="53" customFormat="false" ht="46.25" hidden="false" customHeight="false" outlineLevel="0" collapsed="false">
      <c r="A53" s="2" t="s">
        <v>773</v>
      </c>
      <c r="B53" s="2" t="s">
        <v>862</v>
      </c>
      <c r="C53" s="2" t="s">
        <v>14</v>
      </c>
      <c r="D53" s="2" t="s">
        <v>1137</v>
      </c>
      <c r="E53" s="2" t="s">
        <v>869</v>
      </c>
      <c r="F53" s="3" t="s">
        <v>1183</v>
      </c>
      <c r="G53" s="2" t="n">
        <f aca="false">COUNTIFS('School Contacts'!$B$2:$B$304,B53,'School Contacts'!$H$2:$H$304,"Verified*")</f>
        <v>4</v>
      </c>
      <c r="H53" s="2" t="str">
        <f aca="false">IF(G53&gt;=3,"Complete - 3+ verified contacts",IF(G53&gt;0,"Partial - limited public contact info","No verified contacts found"))</f>
        <v>Complete - 3+ verified contacts</v>
      </c>
      <c r="I53" s="3"/>
    </row>
    <row r="54" customFormat="false" ht="46.25" hidden="false" customHeight="false" outlineLevel="0" collapsed="false">
      <c r="A54" s="2" t="s">
        <v>773</v>
      </c>
      <c r="B54" s="2" t="s">
        <v>878</v>
      </c>
      <c r="C54" s="2" t="s">
        <v>14</v>
      </c>
      <c r="D54" s="2" t="s">
        <v>1137</v>
      </c>
      <c r="E54" s="2" t="s">
        <v>884</v>
      </c>
      <c r="F54" s="3" t="s">
        <v>1183</v>
      </c>
      <c r="G54" s="2" t="n">
        <f aca="false">COUNTIFS('School Contacts'!$B$2:$B$304,B54,'School Contacts'!$H$2:$H$304,"Verified*")</f>
        <v>4</v>
      </c>
      <c r="H54" s="2" t="str">
        <f aca="false">IF(G54&gt;=3,"Complete - 3+ verified contacts",IF(G54&gt;0,"Partial - limited public contact info","No verified contacts found"))</f>
        <v>Complete - 3+ verified contacts</v>
      </c>
      <c r="I54" s="3" t="s">
        <v>1186</v>
      </c>
    </row>
    <row r="55" customFormat="false" ht="46.25" hidden="false" customHeight="false" outlineLevel="0" collapsed="false">
      <c r="A55" s="2" t="s">
        <v>773</v>
      </c>
      <c r="B55" s="2" t="s">
        <v>895</v>
      </c>
      <c r="C55" s="2" t="s">
        <v>14</v>
      </c>
      <c r="D55" s="2" t="s">
        <v>1137</v>
      </c>
      <c r="E55" s="2" t="s">
        <v>900</v>
      </c>
      <c r="F55" s="3" t="s">
        <v>1183</v>
      </c>
      <c r="G55" s="2" t="n">
        <f aca="false">COUNTIFS('School Contacts'!$B$2:$B$304,B55,'School Contacts'!$H$2:$H$304,"Verified*")</f>
        <v>5</v>
      </c>
      <c r="H55" s="2" t="str">
        <f aca="false">IF(G55&gt;=3,"Complete - 3+ verified contacts",IF(G55&gt;0,"Partial - limited public contact info","No verified contacts found"))</f>
        <v>Complete - 3+ verified contacts</v>
      </c>
      <c r="I55" s="3" t="s">
        <v>1187</v>
      </c>
    </row>
    <row r="56" customFormat="false" ht="46.25" hidden="false" customHeight="false" outlineLevel="0" collapsed="false">
      <c r="A56" s="2" t="s">
        <v>773</v>
      </c>
      <c r="B56" s="2" t="s">
        <v>914</v>
      </c>
      <c r="C56" s="2" t="s">
        <v>14</v>
      </c>
      <c r="D56" s="2" t="s">
        <v>1137</v>
      </c>
      <c r="E56" s="2" t="s">
        <v>919</v>
      </c>
      <c r="F56" s="3" t="s">
        <v>1183</v>
      </c>
      <c r="G56" s="2" t="n">
        <f aca="false">COUNTIFS('School Contacts'!$B$2:$B$304,B56,'School Contacts'!$H$2:$H$304,"Verified*")</f>
        <v>5</v>
      </c>
      <c r="H56" s="2" t="str">
        <f aca="false">IF(G56&gt;=3,"Complete - 3+ verified contacts",IF(G56&gt;0,"Partial - limited public contact info","No verified contacts found"))</f>
        <v>Complete - 3+ verified contacts</v>
      </c>
      <c r="I56" s="3" t="s">
        <v>1188</v>
      </c>
    </row>
    <row r="57" customFormat="false" ht="46.25" hidden="false" customHeight="false" outlineLevel="0" collapsed="false">
      <c r="A57" s="2" t="s">
        <v>773</v>
      </c>
      <c r="B57" s="2" t="s">
        <v>936</v>
      </c>
      <c r="C57" s="2" t="s">
        <v>14</v>
      </c>
      <c r="D57" s="2" t="s">
        <v>1137</v>
      </c>
      <c r="E57" s="2" t="s">
        <v>941</v>
      </c>
      <c r="F57" s="3" t="s">
        <v>1183</v>
      </c>
      <c r="G57" s="2" t="n">
        <f aca="false">COUNTIFS('School Contacts'!$B$2:$B$304,B57,'School Contacts'!$H$2:$H$304,"Verified*")</f>
        <v>5</v>
      </c>
      <c r="H57" s="2" t="str">
        <f aca="false">IF(G57&gt;=3,"Complete - 3+ verified contacts",IF(G57&gt;0,"Partial - limited public contact info","No verified contacts found"))</f>
        <v>Complete - 3+ verified contacts</v>
      </c>
      <c r="I57" s="3"/>
    </row>
    <row r="58" customFormat="false" ht="46.25" hidden="false" customHeight="false" outlineLevel="0" collapsed="false">
      <c r="A58" s="2" t="s">
        <v>773</v>
      </c>
      <c r="B58" s="2" t="s">
        <v>955</v>
      </c>
      <c r="C58" s="2" t="s">
        <v>14</v>
      </c>
      <c r="D58" s="2" t="s">
        <v>1137</v>
      </c>
      <c r="E58" s="2" t="s">
        <v>960</v>
      </c>
      <c r="F58" s="3" t="s">
        <v>1183</v>
      </c>
      <c r="G58" s="2" t="n">
        <f aca="false">COUNTIFS('School Contacts'!$B$2:$B$304,B58,'School Contacts'!$H$2:$H$304,"Verified*")</f>
        <v>5</v>
      </c>
      <c r="H58" s="2" t="str">
        <f aca="false">IF(G58&gt;=3,"Complete - 3+ verified contacts",IF(G58&gt;0,"Partial - limited public contact info","No verified contacts found"))</f>
        <v>Complete - 3+ verified contacts</v>
      </c>
      <c r="I58" s="3"/>
    </row>
    <row r="59" customFormat="false" ht="46.25" hidden="false" customHeight="false" outlineLevel="0" collapsed="false">
      <c r="A59" s="2" t="s">
        <v>773</v>
      </c>
      <c r="B59" s="2" t="s">
        <v>973</v>
      </c>
      <c r="C59" s="2" t="s">
        <v>22</v>
      </c>
      <c r="D59" s="2" t="s">
        <v>1148</v>
      </c>
      <c r="E59" s="2" t="s">
        <v>979</v>
      </c>
      <c r="F59" s="3" t="s">
        <v>1183</v>
      </c>
      <c r="G59" s="2" t="n">
        <f aca="false">COUNTIFS('School Contacts'!$B$2:$B$304,B59,'School Contacts'!$H$2:$H$304,"Verified*")</f>
        <v>5</v>
      </c>
      <c r="H59" s="2" t="str">
        <f aca="false">IF(G59&gt;=3,"Complete - 3+ verified contacts",IF(G59&gt;0,"Partial - limited public contact info","No verified contacts found"))</f>
        <v>Complete - 3+ verified contacts</v>
      </c>
      <c r="I59" s="3" t="s">
        <v>1189</v>
      </c>
    </row>
    <row r="60" customFormat="false" ht="46.25" hidden="false" customHeight="false" outlineLevel="0" collapsed="false">
      <c r="A60" s="2" t="s">
        <v>773</v>
      </c>
      <c r="B60" s="2" t="s">
        <v>994</v>
      </c>
      <c r="C60" s="2" t="s">
        <v>22</v>
      </c>
      <c r="D60" s="2" t="s">
        <v>1148</v>
      </c>
      <c r="E60" s="2" t="s">
        <v>998</v>
      </c>
      <c r="F60" s="3" t="s">
        <v>1183</v>
      </c>
      <c r="G60" s="2" t="n">
        <f aca="false">COUNTIFS('School Contacts'!$B$2:$B$304,B60,'School Contacts'!$H$2:$H$304,"Verified*")</f>
        <v>5</v>
      </c>
      <c r="H60" s="2" t="str">
        <f aca="false">IF(G60&gt;=3,"Complete - 3+ verified contacts",IF(G60&gt;0,"Partial - limited public contact info","No verified contacts found"))</f>
        <v>Complete - 3+ verified contacts</v>
      </c>
      <c r="I60" s="3" t="s">
        <v>1190</v>
      </c>
    </row>
    <row r="61" customFormat="false" ht="46.25" hidden="false" customHeight="false" outlineLevel="0" collapsed="false">
      <c r="A61" s="2" t="s">
        <v>773</v>
      </c>
      <c r="B61" s="2" t="s">
        <v>1009</v>
      </c>
      <c r="C61" s="2" t="s">
        <v>22</v>
      </c>
      <c r="D61" s="2" t="s">
        <v>1148</v>
      </c>
      <c r="E61" s="2" t="s">
        <v>1015</v>
      </c>
      <c r="F61" s="3" t="s">
        <v>1183</v>
      </c>
      <c r="G61" s="2" t="n">
        <f aca="false">COUNTIFS('School Contacts'!$B$2:$B$304,B61,'School Contacts'!$H$2:$H$304,"Verified*")</f>
        <v>4</v>
      </c>
      <c r="H61" s="2" t="str">
        <f aca="false">IF(G61&gt;=3,"Complete - 3+ verified contacts",IF(G61&gt;0,"Partial - limited public contact info","No verified contacts found"))</f>
        <v>Complete - 3+ verified contacts</v>
      </c>
      <c r="I61" s="3"/>
    </row>
    <row r="62" customFormat="false" ht="46.25" hidden="false" customHeight="false" outlineLevel="0" collapsed="false">
      <c r="A62" s="2" t="s">
        <v>773</v>
      </c>
      <c r="B62" s="2" t="s">
        <v>1025</v>
      </c>
      <c r="C62" s="2" t="s">
        <v>22</v>
      </c>
      <c r="D62" s="2" t="s">
        <v>1148</v>
      </c>
      <c r="E62" s="2" t="s">
        <v>1031</v>
      </c>
      <c r="F62" s="3" t="s">
        <v>1183</v>
      </c>
      <c r="G62" s="2" t="n">
        <f aca="false">COUNTIFS('School Contacts'!$B$2:$B$304,B62,'School Contacts'!$H$2:$H$304,"Verified*")</f>
        <v>5</v>
      </c>
      <c r="H62" s="2" t="str">
        <f aca="false">IF(G62&gt;=3,"Complete - 3+ verified contacts",IF(G62&gt;0,"Partial - limited public contact info","No verified contacts found"))</f>
        <v>Complete - 3+ verified contacts</v>
      </c>
      <c r="I62" s="3" t="s">
        <v>1191</v>
      </c>
    </row>
    <row r="63" customFormat="false" ht="46.25" hidden="false" customHeight="false" outlineLevel="0" collapsed="false">
      <c r="A63" s="2" t="s">
        <v>773</v>
      </c>
      <c r="B63" s="2" t="s">
        <v>1046</v>
      </c>
      <c r="C63" s="2" t="s">
        <v>22</v>
      </c>
      <c r="D63" s="2" t="s">
        <v>1148</v>
      </c>
      <c r="E63" s="2" t="s">
        <v>1052</v>
      </c>
      <c r="F63" s="3" t="s">
        <v>1183</v>
      </c>
      <c r="G63" s="2" t="n">
        <f aca="false">COUNTIFS('School Contacts'!$B$2:$B$304,B63,'School Contacts'!$H$2:$H$304,"Verified*")</f>
        <v>5</v>
      </c>
      <c r="H63" s="2" t="str">
        <f aca="false">IF(G63&gt;=3,"Complete - 3+ verified contacts",IF(G63&gt;0,"Partial - limited public contact info","No verified contacts found"))</f>
        <v>Complete - 3+ verified contacts</v>
      </c>
      <c r="I63" s="3" t="s">
        <v>1177</v>
      </c>
    </row>
    <row r="64" customFormat="false" ht="46.25" hidden="false" customHeight="false" outlineLevel="0" collapsed="false">
      <c r="A64" s="2" t="s">
        <v>773</v>
      </c>
      <c r="B64" s="2" t="s">
        <v>1067</v>
      </c>
      <c r="C64" s="2" t="s">
        <v>22</v>
      </c>
      <c r="D64" s="2" t="s">
        <v>1148</v>
      </c>
      <c r="E64" s="2" t="s">
        <v>1071</v>
      </c>
      <c r="F64" s="3" t="s">
        <v>1183</v>
      </c>
      <c r="G64" s="2" t="n">
        <f aca="false">COUNTIFS('School Contacts'!$B$2:$B$304,B64,'School Contacts'!$H$2:$H$304,"Verified*")</f>
        <v>5</v>
      </c>
      <c r="H64" s="2" t="str">
        <f aca="false">IF(G64&gt;=3,"Complete - 3+ verified contacts",IF(G64&gt;0,"Partial - limited public contact info","No verified contacts found"))</f>
        <v>Complete - 3+ verified contacts</v>
      </c>
      <c r="I64" s="3"/>
    </row>
    <row r="65" customFormat="false" ht="46.25" hidden="false" customHeight="false" outlineLevel="0" collapsed="false">
      <c r="A65" s="2" t="s">
        <v>773</v>
      </c>
      <c r="B65" s="2" t="s">
        <v>1084</v>
      </c>
      <c r="C65" s="2" t="s">
        <v>22</v>
      </c>
      <c r="D65" s="2" t="s">
        <v>1148</v>
      </c>
      <c r="E65" s="2" t="s">
        <v>1090</v>
      </c>
      <c r="F65" s="3" t="s">
        <v>1183</v>
      </c>
      <c r="G65" s="2" t="n">
        <f aca="false">COUNTIFS('School Contacts'!$B$2:$B$304,B65,'School Contacts'!$H$2:$H$304,"Verified*")</f>
        <v>5</v>
      </c>
      <c r="H65" s="2" t="str">
        <f aca="false">IF(G65&gt;=3,"Complete - 3+ verified contacts",IF(G65&gt;0,"Partial - limited public contact info","No verified contacts found"))</f>
        <v>Complete - 3+ verified contacts</v>
      </c>
      <c r="I65" s="3" t="s">
        <v>1192</v>
      </c>
    </row>
    <row r="66" customFormat="false" ht="46.25" hidden="false" customHeight="false" outlineLevel="0" collapsed="false">
      <c r="A66" s="2" t="s">
        <v>773</v>
      </c>
      <c r="B66" s="2" t="s">
        <v>1104</v>
      </c>
      <c r="C66" s="2" t="s">
        <v>22</v>
      </c>
      <c r="D66" s="2" t="s">
        <v>1148</v>
      </c>
      <c r="E66" s="2" t="s">
        <v>1110</v>
      </c>
      <c r="F66" s="3" t="s">
        <v>1183</v>
      </c>
      <c r="G66" s="2" t="n">
        <f aca="false">COUNTIFS('School Contacts'!$B$2:$B$304,B66,'School Contacts'!$H$2:$H$304,"Verified*")</f>
        <v>4</v>
      </c>
      <c r="H66" s="2" t="str">
        <f aca="false">IF(G66&gt;=3,"Complete - 3+ verified contacts",IF(G66&gt;0,"Partial - limited public contact info","No verified contacts found"))</f>
        <v>Complete - 3+ verified contacts</v>
      </c>
      <c r="I66" s="3"/>
    </row>
    <row r="67" customFormat="false" ht="23.85" hidden="false" customHeight="false" outlineLevel="0" collapsed="false">
      <c r="A67" s="2" t="s">
        <v>773</v>
      </c>
      <c r="B67" s="2" t="s">
        <v>1120</v>
      </c>
      <c r="C67" s="2" t="s">
        <v>487</v>
      </c>
      <c r="D67" s="2" t="s">
        <v>1193</v>
      </c>
      <c r="E67" s="2" t="s">
        <v>1124</v>
      </c>
      <c r="F67" s="3" t="s">
        <v>1194</v>
      </c>
      <c r="G67" s="2" t="n">
        <f aca="false">COUNTIFS('School Contacts'!$B$2:$B$304,B67,'School Contacts'!$H$2:$H$304,"Verified*")</f>
        <v>3</v>
      </c>
      <c r="H67" s="2" t="str">
        <f aca="false">IF(G67&gt;=3,"Complete - 3+ verified contacts",IF(G67&gt;0,"Partial - limited public contact info","No verified contacts found"))</f>
        <v>Complete - 3+ verified contacts</v>
      </c>
      <c r="I67" s="3" t="s">
        <v>1195</v>
      </c>
    </row>
  </sheetData>
  <autoFilter ref="A1:I6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2"/>
    <col collapsed="false" customWidth="true" hidden="false" outlineLevel="0" max="4" min="2" style="0" width="16"/>
    <col collapsed="false" customWidth="true" hidden="false" outlineLevel="0" max="5" min="5" style="0" width="14"/>
  </cols>
  <sheetData>
    <row r="1" customFormat="false" ht="17.35" hidden="false" customHeight="false" outlineLevel="0" collapsed="false">
      <c r="A1" s="13" t="s">
        <v>1196</v>
      </c>
    </row>
    <row r="2" customFormat="false" ht="15" hidden="false" customHeight="false" outlineLevel="0" collapsed="false">
      <c r="A2" s="14" t="s">
        <v>1197</v>
      </c>
    </row>
    <row r="4" customFormat="false" ht="39.55" hidden="false" customHeight="false" outlineLevel="0" collapsed="false">
      <c r="A4" s="15" t="s">
        <v>1198</v>
      </c>
      <c r="B4" s="15" t="s">
        <v>12</v>
      </c>
      <c r="C4" s="15" t="s">
        <v>520</v>
      </c>
      <c r="D4" s="15" t="s">
        <v>773</v>
      </c>
      <c r="E4" s="15" t="s">
        <v>1199</v>
      </c>
    </row>
    <row r="5" customFormat="false" ht="15" hidden="false" customHeight="false" outlineLevel="0" collapsed="false">
      <c r="A5" s="16" t="s">
        <v>1200</v>
      </c>
      <c r="B5" s="16" t="n">
        <f aca="false">COUNTIFS('Complete School List'!$A$2:$A$67,"Clayton County Public Schools",'Complete School List'!$C$2:$C$67,"Middle")</f>
        <v>15</v>
      </c>
      <c r="C5" s="16" t="n">
        <f aca="false">COUNTIFS('Complete School List'!$A$2:$A$67,"Cherokee County School District",'Complete School List'!$C$2:$C$67,"Middle")</f>
        <v>7</v>
      </c>
      <c r="D5" s="16" t="n">
        <f aca="false">COUNTIFS('Complete School List'!$A$2:$A$67,"Forsyth County Schools",'Complete School List'!$C$2:$C$67,"Middle")</f>
        <v>11</v>
      </c>
      <c r="E5" s="17" t="n">
        <f aca="false">SUM(B5:D5)</f>
        <v>33</v>
      </c>
    </row>
    <row r="6" customFormat="false" ht="15" hidden="false" customHeight="false" outlineLevel="0" collapsed="false">
      <c r="A6" s="16" t="s">
        <v>1201</v>
      </c>
      <c r="B6" s="16" t="n">
        <f aca="false">COUNTIFS('Complete School List'!$A$2:$A$67,"Clayton County Public Schools",'Complete School List'!$C$2:$C$67,"High")</f>
        <v>12</v>
      </c>
      <c r="C6" s="16" t="n">
        <f aca="false">COUNTIFS('Complete School List'!$A$2:$A$67,"Cherokee County School District",'Complete School List'!$C$2:$C$67,"High")</f>
        <v>7</v>
      </c>
      <c r="D6" s="16" t="n">
        <f aca="false">COUNTIFS('Complete School List'!$A$2:$A$67,"Forsyth County Schools",'Complete School List'!$C$2:$C$67,"High")</f>
        <v>8</v>
      </c>
      <c r="E6" s="17" t="n">
        <f aca="false">SUM(B6:D6)</f>
        <v>27</v>
      </c>
    </row>
    <row r="7" customFormat="false" ht="15" hidden="false" customHeight="false" outlineLevel="0" collapsed="false">
      <c r="A7" s="16" t="s">
        <v>1202</v>
      </c>
      <c r="B7" s="16" t="n">
        <f aca="false">COUNTIFS('Complete School List'!$A$2:$A$67,"Clayton County Public Schools",'Complete School List'!$C$2:$C$67,"Combined")</f>
        <v>4</v>
      </c>
      <c r="C7" s="16" t="n">
        <f aca="false">COUNTIFS('Complete School List'!$A$2:$A$67,"Cherokee County School District",'Complete School List'!$C$2:$C$67,"Combined")</f>
        <v>1</v>
      </c>
      <c r="D7" s="16" t="n">
        <f aca="false">COUNTIFS('Complete School List'!$A$2:$A$67,"Forsyth County Schools",'Complete School List'!$C$2:$C$67,"Combined")</f>
        <v>1</v>
      </c>
      <c r="E7" s="17" t="n">
        <f aca="false">SUM(B7:D7)</f>
        <v>6</v>
      </c>
    </row>
    <row r="8" customFormat="false" ht="15" hidden="false" customHeight="false" outlineLevel="0" collapsed="false">
      <c r="A8" s="16" t="s">
        <v>1203</v>
      </c>
      <c r="B8" s="16" t="n">
        <f aca="false">COUNTIFS('Complete School List'!$A$2:$A$67,"Clayton County Public Schools")</f>
        <v>31</v>
      </c>
      <c r="C8" s="16" t="n">
        <f aca="false">COUNTIFS('Complete School List'!$A$2:$A$67,"Cherokee County School District")</f>
        <v>15</v>
      </c>
      <c r="D8" s="16" t="n">
        <f aca="false">COUNTIFS('Complete School List'!$A$2:$A$67,"Forsyth County Schools")</f>
        <v>20</v>
      </c>
      <c r="E8" s="17" t="n">
        <f aca="false">SUM(B8:D8)</f>
        <v>66</v>
      </c>
    </row>
    <row r="9" customFormat="false" ht="15" hidden="false" customHeight="false" outlineLevel="0" collapsed="false">
      <c r="A9" s="16" t="s">
        <v>1204</v>
      </c>
      <c r="B9" s="16" t="n">
        <f aca="false">COUNTIFS('School Contacts'!$A$2:$A$304,"Clayton County Public Schools",'School Contacts'!$H$2:$H$304,"Verified*")</f>
        <v>142</v>
      </c>
      <c r="C9" s="16" t="n">
        <f aca="false">COUNTIFS('School Contacts'!$A$2:$A$304,"Cherokee County School District",'School Contacts'!$H$2:$H$304,"Verified*")</f>
        <v>66</v>
      </c>
      <c r="D9" s="16" t="n">
        <f aca="false">COUNTIFS('School Contacts'!$A$2:$A$304,"Forsyth County Schools",'School Contacts'!$H$2:$H$304,"Verified*")</f>
        <v>92</v>
      </c>
      <c r="E9" s="17" t="n">
        <f aca="false">SUM(B9:D9)</f>
        <v>300</v>
      </c>
    </row>
    <row r="10" customFormat="false" ht="15" hidden="false" customHeight="false" outlineLevel="0" collapsed="false">
      <c r="A10" s="16" t="s">
        <v>1205</v>
      </c>
      <c r="B10" s="16" t="n">
        <f aca="false">COUNTIFS('School Contacts'!$A$2:$A$304,"Clayton County Public Schools",'School Contacts'!$H$2:$H$304,"Not publicly available*")</f>
        <v>2</v>
      </c>
      <c r="C10" s="16" t="n">
        <f aca="false">COUNTIFS('School Contacts'!$A$2:$A$304,"Cherokee County School District",'School Contacts'!$H$2:$H$304,"Not publicly available*")</f>
        <v>1</v>
      </c>
      <c r="D10" s="16" t="n">
        <f aca="false">COUNTIFS('School Contacts'!$A$2:$A$304,"Forsyth County Schools",'School Contacts'!$H$2:$H$304,"Not publicly available*")</f>
        <v>0</v>
      </c>
      <c r="E10" s="17" t="n">
        <f aca="false">SUM(B10:D10)</f>
        <v>3</v>
      </c>
    </row>
    <row r="11" customFormat="false" ht="15" hidden="false" customHeight="false" outlineLevel="0" collapsed="false">
      <c r="A11" s="16" t="s">
        <v>1206</v>
      </c>
      <c r="B11" s="16" t="n">
        <f aca="false">COUNTIFS('School Contacts'!$A$2:$A$304,"Clayton County Public Schools",'School Contacts'!$H$2:$H$304,"Verified*",'School Contacts'!$K$2:$K$304,"High")</f>
        <v>79</v>
      </c>
      <c r="C11" s="16" t="n">
        <f aca="false">COUNTIFS('School Contacts'!$A$2:$A$304,"Cherokee County School District",'School Contacts'!$H$2:$H$304,"Verified*",'School Contacts'!$K$2:$K$304,"High")</f>
        <v>39</v>
      </c>
      <c r="D11" s="16" t="n">
        <f aca="false">COUNTIFS('School Contacts'!$A$2:$A$304,"Forsyth County Schools",'School Contacts'!$H$2:$H$304,"Verified*",'School Contacts'!$K$2:$K$304,"High")</f>
        <v>59</v>
      </c>
      <c r="E11" s="17" t="n">
        <f aca="false">SUM(B11:D11)</f>
        <v>177</v>
      </c>
    </row>
    <row r="12" customFormat="false" ht="15" hidden="false" customHeight="false" outlineLevel="0" collapsed="false">
      <c r="A12" s="16" t="s">
        <v>1207</v>
      </c>
      <c r="B12" s="16" t="n">
        <f aca="false">COUNTIFS('Complete School List'!$A$2:$A$67,"Clayton County Public Schools",'Complete School List'!$G$2:$G$67,"&gt;=3")</f>
        <v>28</v>
      </c>
      <c r="C12" s="16" t="n">
        <f aca="false">COUNTIFS('Complete School List'!$A$2:$A$67,"Cherokee County School District",'Complete School List'!$G$2:$G$67,"&gt;=3")</f>
        <v>13</v>
      </c>
      <c r="D12" s="16" t="n">
        <f aca="false">COUNTIFS('Complete School List'!$A$2:$A$67,"Forsyth County Schools",'Complete School List'!$G$2:$G$67,"&gt;=3")</f>
        <v>20</v>
      </c>
      <c r="E12" s="17" t="n">
        <f aca="false">SUM(B12:D12)</f>
        <v>61</v>
      </c>
    </row>
    <row r="13" customFormat="false" ht="15" hidden="false" customHeight="false" outlineLevel="0" collapsed="false">
      <c r="A13" s="16" t="s">
        <v>1208</v>
      </c>
      <c r="B13" s="16" t="n">
        <f aca="false">COUNTIFS('Complete School List'!$A$2:$A$67,"Clayton County Public Schools",'Complete School List'!$G$2:$G$67,"&gt;=1",'Complete School List'!$G$2:$G$67,"&lt;=2")</f>
        <v>2</v>
      </c>
      <c r="C13" s="16" t="n">
        <f aca="false">COUNTIFS('Complete School List'!$A$2:$A$67,"Cherokee County School District",'Complete School List'!$G$2:$G$67,"&gt;=1",'Complete School List'!$G$2:$G$67,"&lt;=2")</f>
        <v>2</v>
      </c>
      <c r="D13" s="16" t="n">
        <f aca="false">COUNTIFS('Complete School List'!$A$2:$A$67,"Forsyth County Schools",'Complete School List'!$G$2:$G$67,"&gt;=1",'Complete School List'!$G$2:$G$67,"&lt;=2")</f>
        <v>0</v>
      </c>
      <c r="E13" s="17" t="n">
        <f aca="false">SUM(B13:D13)</f>
        <v>4</v>
      </c>
    </row>
    <row r="14" customFormat="false" ht="15" hidden="false" customHeight="false" outlineLevel="0" collapsed="false">
      <c r="A14" s="16" t="s">
        <v>1209</v>
      </c>
      <c r="B14" s="16" t="n">
        <f aca="false">COUNTIFS('Complete School List'!$A$2:$A$67,"Clayton County Public Schools",'Complete School List'!$G$2:$G$67,0)</f>
        <v>1</v>
      </c>
      <c r="C14" s="16" t="n">
        <f aca="false">COUNTIFS('Complete School List'!$A$2:$A$67,"Cherokee County School District",'Complete School List'!$G$2:$G$67,0)</f>
        <v>0</v>
      </c>
      <c r="D14" s="16" t="n">
        <f aca="false">COUNTIFS('Complete School List'!$A$2:$A$67,"Forsyth County Schools",'Complete School List'!$G$2:$G$67,0)</f>
        <v>0</v>
      </c>
      <c r="E14" s="17" t="n">
        <f aca="false">SUM(B14:D14)</f>
        <v>1</v>
      </c>
    </row>
    <row r="15" customFormat="false" ht="15" hidden="false" customHeight="false" outlineLevel="0" collapsed="false">
      <c r="A15" s="18" t="s">
        <v>1210</v>
      </c>
      <c r="E15" s="19" t="n">
        <v>293</v>
      </c>
      <c r="F15" s="20" t="s">
        <v>1211</v>
      </c>
    </row>
    <row r="17" customFormat="false" ht="15" hidden="false" customHeight="false" outlineLevel="0" collapsed="false">
      <c r="A17" s="21" t="s">
        <v>1212</v>
      </c>
    </row>
    <row r="18" customFormat="false" ht="15" hidden="false" customHeight="true" outlineLevel="0" collapsed="false">
      <c r="A18" s="22" t="s">
        <v>1213</v>
      </c>
      <c r="B18" s="22"/>
      <c r="C18" s="22"/>
      <c r="D18" s="22"/>
      <c r="E18" s="22"/>
      <c r="F18" s="22"/>
    </row>
    <row r="19" customFormat="false" ht="30" hidden="false" customHeight="true" outlineLevel="0" collapsed="false">
      <c r="A19" s="22" t="s">
        <v>1214</v>
      </c>
      <c r="B19" s="22"/>
      <c r="C19" s="22"/>
      <c r="D19" s="22"/>
      <c r="E19" s="22"/>
      <c r="F19" s="22"/>
    </row>
    <row r="20" customFormat="false" ht="30" hidden="false" customHeight="true" outlineLevel="0" collapsed="false">
      <c r="A20" s="22" t="s">
        <v>1215</v>
      </c>
      <c r="B20" s="22"/>
      <c r="C20" s="22"/>
      <c r="D20" s="22"/>
      <c r="E20" s="22"/>
      <c r="F20" s="22"/>
    </row>
    <row r="21" customFormat="false" ht="30" hidden="false" customHeight="true" outlineLevel="0" collapsed="false">
      <c r="A21" s="22" t="s">
        <v>1216</v>
      </c>
      <c r="B21" s="22"/>
      <c r="C21" s="22"/>
      <c r="D21" s="22"/>
      <c r="E21" s="22"/>
      <c r="F21" s="22"/>
    </row>
    <row r="22" customFormat="false" ht="30" hidden="false" customHeight="true" outlineLevel="0" collapsed="false">
      <c r="A22" s="22" t="s">
        <v>1217</v>
      </c>
      <c r="B22" s="22"/>
      <c r="C22" s="22"/>
      <c r="D22" s="22"/>
      <c r="E22" s="22"/>
      <c r="F22" s="22"/>
    </row>
    <row r="23" customFormat="false" ht="30" hidden="false" customHeight="true" outlineLevel="0" collapsed="false">
      <c r="A23" s="22" t="s">
        <v>1218</v>
      </c>
      <c r="B23" s="22"/>
      <c r="C23" s="22"/>
      <c r="D23" s="22"/>
      <c r="E23" s="22"/>
      <c r="F23" s="22"/>
    </row>
    <row r="24" customFormat="false" ht="30" hidden="false" customHeight="true" outlineLevel="0" collapsed="false">
      <c r="A24" s="22" t="s">
        <v>1219</v>
      </c>
      <c r="B24" s="22"/>
      <c r="C24" s="22"/>
      <c r="D24" s="22"/>
      <c r="E24" s="22"/>
      <c r="F24" s="22"/>
    </row>
    <row r="25" customFormat="false" ht="15" hidden="false" customHeight="true" outlineLevel="0" collapsed="false">
      <c r="A25" s="22" t="s">
        <v>1220</v>
      </c>
      <c r="B25" s="22"/>
      <c r="C25" s="22"/>
      <c r="D25" s="22"/>
      <c r="E25" s="22"/>
      <c r="F25" s="22"/>
    </row>
    <row r="26" customFormat="false" ht="30" hidden="false" customHeight="true" outlineLevel="0" collapsed="false">
      <c r="A26" s="22" t="s">
        <v>1221</v>
      </c>
      <c r="B26" s="22"/>
      <c r="C26" s="22"/>
      <c r="D26" s="22"/>
      <c r="E26" s="22"/>
      <c r="F26" s="22"/>
    </row>
    <row r="27" customFormat="false" ht="15" hidden="false" customHeight="true" outlineLevel="0" collapsed="false">
      <c r="A27" s="22" t="s">
        <v>1222</v>
      </c>
      <c r="B27" s="22"/>
      <c r="C27" s="22"/>
      <c r="D27" s="22"/>
      <c r="E27" s="22"/>
      <c r="F27" s="22"/>
    </row>
    <row r="29" customFormat="false" ht="15" hidden="false" customHeight="false" outlineLevel="0" collapsed="false">
      <c r="A29" s="21" t="s">
        <v>1223</v>
      </c>
    </row>
    <row r="30" customFormat="false" ht="75" hidden="false" customHeight="true" outlineLevel="0" collapsed="false">
      <c r="A30" s="22" t="s">
        <v>1224</v>
      </c>
      <c r="B30" s="22"/>
      <c r="C30" s="22"/>
      <c r="D30" s="22"/>
      <c r="E30" s="22"/>
      <c r="F30" s="22"/>
    </row>
    <row r="31" customFormat="false" ht="60" hidden="false" customHeight="true" outlineLevel="0" collapsed="false">
      <c r="A31" s="22" t="s">
        <v>1225</v>
      </c>
      <c r="B31" s="22"/>
      <c r="C31" s="22"/>
      <c r="D31" s="22"/>
      <c r="E31" s="22"/>
      <c r="F31" s="22"/>
    </row>
    <row r="32" customFormat="false" ht="45" hidden="false" customHeight="true" outlineLevel="0" collapsed="false">
      <c r="A32" s="22" t="s">
        <v>1226</v>
      </c>
      <c r="B32" s="22"/>
      <c r="C32" s="22"/>
      <c r="D32" s="22"/>
      <c r="E32" s="22"/>
      <c r="F32" s="22"/>
    </row>
    <row r="33" customFormat="false" ht="60" hidden="false" customHeight="true" outlineLevel="0" collapsed="false">
      <c r="A33" s="22" t="s">
        <v>1227</v>
      </c>
      <c r="B33" s="22"/>
      <c r="C33" s="22"/>
      <c r="D33" s="22"/>
      <c r="E33" s="22"/>
      <c r="F33" s="22"/>
    </row>
    <row r="34" customFormat="false" ht="45" hidden="false" customHeight="true" outlineLevel="0" collapsed="false">
      <c r="A34" s="22" t="s">
        <v>1228</v>
      </c>
      <c r="B34" s="22"/>
      <c r="C34" s="22"/>
      <c r="D34" s="22"/>
      <c r="E34" s="22"/>
      <c r="F34" s="22"/>
    </row>
    <row r="36" customFormat="false" ht="15" hidden="false" customHeight="false" outlineLevel="0" collapsed="false">
      <c r="A36" s="21" t="s">
        <v>1229</v>
      </c>
    </row>
    <row r="37" customFormat="false" ht="45" hidden="false" customHeight="true" outlineLevel="0" collapsed="false">
      <c r="A37" s="22" t="s">
        <v>1230</v>
      </c>
      <c r="B37" s="22"/>
      <c r="C37" s="22"/>
      <c r="D37" s="22"/>
      <c r="E37" s="22"/>
      <c r="F37" s="22"/>
    </row>
    <row r="38" customFormat="false" ht="45" hidden="false" customHeight="true" outlineLevel="0" collapsed="false">
      <c r="A38" s="22" t="s">
        <v>1231</v>
      </c>
      <c r="B38" s="22"/>
      <c r="C38" s="22"/>
      <c r="D38" s="22"/>
      <c r="E38" s="22"/>
      <c r="F38" s="22"/>
    </row>
    <row r="39" customFormat="false" ht="30" hidden="false" customHeight="true" outlineLevel="0" collapsed="false">
      <c r="A39" s="22" t="s">
        <v>1232</v>
      </c>
      <c r="B39" s="22"/>
      <c r="C39" s="22"/>
      <c r="D39" s="22"/>
      <c r="E39" s="22"/>
      <c r="F39" s="22"/>
    </row>
    <row r="40" customFormat="false" ht="30" hidden="false" customHeight="true" outlineLevel="0" collapsed="false">
      <c r="A40" s="22" t="s">
        <v>1233</v>
      </c>
      <c r="B40" s="22"/>
      <c r="C40" s="22"/>
      <c r="D40" s="22"/>
      <c r="E40" s="22"/>
      <c r="F40" s="22"/>
    </row>
    <row r="41" customFormat="false" ht="30" hidden="false" customHeight="true" outlineLevel="0" collapsed="false">
      <c r="A41" s="22" t="s">
        <v>1234</v>
      </c>
      <c r="B41" s="22"/>
      <c r="C41" s="22"/>
      <c r="D41" s="22"/>
      <c r="E41" s="22"/>
      <c r="F41" s="22"/>
    </row>
    <row r="42" customFormat="false" ht="30" hidden="false" customHeight="true" outlineLevel="0" collapsed="false">
      <c r="A42" s="22" t="s">
        <v>1235</v>
      </c>
      <c r="B42" s="22"/>
      <c r="C42" s="22"/>
      <c r="D42" s="22"/>
      <c r="E42" s="22"/>
      <c r="F42" s="22"/>
    </row>
    <row r="43" customFormat="false" ht="15" hidden="false" customHeight="true" outlineLevel="0" collapsed="false">
      <c r="A43" s="22" t="s">
        <v>1236</v>
      </c>
      <c r="B43" s="22"/>
      <c r="C43" s="22"/>
      <c r="D43" s="22"/>
      <c r="E43" s="22"/>
      <c r="F43" s="22"/>
    </row>
    <row r="45" customFormat="false" ht="15" hidden="false" customHeight="false" outlineLevel="0" collapsed="false">
      <c r="A45" s="21" t="s">
        <v>1237</v>
      </c>
    </row>
    <row r="46" customFormat="false" ht="30" hidden="false" customHeight="true" outlineLevel="0" collapsed="false">
      <c r="A46" s="22" t="s">
        <v>1238</v>
      </c>
      <c r="B46" s="22"/>
      <c r="C46" s="22"/>
      <c r="D46" s="22"/>
      <c r="E46" s="22"/>
      <c r="F46" s="22"/>
    </row>
    <row r="47" customFormat="false" ht="45" hidden="false" customHeight="true" outlineLevel="0" collapsed="false">
      <c r="A47" s="22" t="s">
        <v>1239</v>
      </c>
      <c r="B47" s="22"/>
      <c r="C47" s="22"/>
      <c r="D47" s="22"/>
      <c r="E47" s="22"/>
      <c r="F47" s="22"/>
    </row>
    <row r="48" customFormat="false" ht="30" hidden="false" customHeight="true" outlineLevel="0" collapsed="false">
      <c r="A48" s="22" t="s">
        <v>1240</v>
      </c>
      <c r="B48" s="22"/>
      <c r="C48" s="22"/>
      <c r="D48" s="22"/>
      <c r="E48" s="22"/>
      <c r="F48" s="22"/>
    </row>
    <row r="49" customFormat="false" ht="30" hidden="false" customHeight="true" outlineLevel="0" collapsed="false">
      <c r="A49" s="22" t="s">
        <v>1241</v>
      </c>
      <c r="B49" s="22"/>
      <c r="C49" s="22"/>
      <c r="D49" s="22"/>
      <c r="E49" s="22"/>
      <c r="F49" s="22"/>
    </row>
    <row r="50" customFormat="false" ht="15" hidden="false" customHeight="true" outlineLevel="0" collapsed="false">
      <c r="A50" s="22" t="s">
        <v>1242</v>
      </c>
      <c r="B50" s="22"/>
      <c r="C50" s="22"/>
      <c r="D50" s="22"/>
      <c r="E50" s="22"/>
      <c r="F50" s="22"/>
    </row>
    <row r="52" customFormat="false" ht="15" hidden="false" customHeight="false" outlineLevel="0" collapsed="false">
      <c r="A52" s="21" t="s">
        <v>1243</v>
      </c>
    </row>
    <row r="53" customFormat="false" ht="30" hidden="false" customHeight="true" outlineLevel="0" collapsed="false">
      <c r="A53" s="22" t="s">
        <v>1244</v>
      </c>
      <c r="B53" s="22"/>
      <c r="C53" s="22"/>
      <c r="D53" s="22"/>
      <c r="E53" s="22"/>
      <c r="F53" s="22"/>
    </row>
    <row r="54" customFormat="false" ht="30" hidden="false" customHeight="true" outlineLevel="0" collapsed="false">
      <c r="A54" s="22" t="s">
        <v>1245</v>
      </c>
      <c r="B54" s="22"/>
      <c r="C54" s="22"/>
      <c r="D54" s="22"/>
      <c r="E54" s="22"/>
      <c r="F54" s="22"/>
    </row>
    <row r="55" customFormat="false" ht="15" hidden="false" customHeight="true" outlineLevel="0" collapsed="false">
      <c r="A55" s="22" t="s">
        <v>1246</v>
      </c>
      <c r="B55" s="22"/>
      <c r="C55" s="22"/>
      <c r="D55" s="22"/>
      <c r="E55" s="22"/>
      <c r="F55" s="22"/>
    </row>
    <row r="56" customFormat="false" ht="15" hidden="false" customHeight="true" outlineLevel="0" collapsed="false">
      <c r="A56" s="22" t="s">
        <v>1247</v>
      </c>
      <c r="B56" s="22"/>
      <c r="C56" s="22"/>
      <c r="D56" s="22"/>
      <c r="E56" s="22"/>
      <c r="F56" s="22"/>
    </row>
  </sheetData>
  <mergeCells count="31">
    <mergeCell ref="A18:F18"/>
    <mergeCell ref="A19:F19"/>
    <mergeCell ref="A20:F20"/>
    <mergeCell ref="A21:F21"/>
    <mergeCell ref="A22:F22"/>
    <mergeCell ref="A23:F23"/>
    <mergeCell ref="A24:F24"/>
    <mergeCell ref="A25:F25"/>
    <mergeCell ref="A26:F26"/>
    <mergeCell ref="A27:F27"/>
    <mergeCell ref="A30:F30"/>
    <mergeCell ref="A31:F31"/>
    <mergeCell ref="A32:F32"/>
    <mergeCell ref="A33:F33"/>
    <mergeCell ref="A34:F34"/>
    <mergeCell ref="A37:F37"/>
    <mergeCell ref="A38:F38"/>
    <mergeCell ref="A39:F39"/>
    <mergeCell ref="A40:F40"/>
    <mergeCell ref="A41:F41"/>
    <mergeCell ref="A42:F42"/>
    <mergeCell ref="A43:F43"/>
    <mergeCell ref="A46:F46"/>
    <mergeCell ref="A47:F47"/>
    <mergeCell ref="A48:F48"/>
    <mergeCell ref="A49:F49"/>
    <mergeCell ref="A50:F50"/>
    <mergeCell ref="A53:F53"/>
    <mergeCell ref="A54:F54"/>
    <mergeCell ref="A55:F55"/>
    <mergeCell ref="A56:F5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2026-10-30T21:04:08Z</dcterms:created>
  <dc:creator>openpyxl</dc:creator>
  <dc:description/>
  <dc:language>en-US</dc:language>
  <cp:lastModifiedBy/>
  <dcterms:modified xsi:type="dcterms:W3CDTF">2026-10-30T21:04:08Z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